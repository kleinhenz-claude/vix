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e49bd205242abd/"/>
    </mc:Choice>
  </mc:AlternateContent>
  <xr:revisionPtr revIDLastSave="0" documentId="8_{B9ABF52D-52AD-3446-9D38-4ADE8A36A14F}" xr6:coauthVersionLast="47" xr6:coauthVersionMax="47" xr10:uidLastSave="{00000000-0000-0000-0000-000000000000}"/>
  <bookViews>
    <workbookView xWindow="-110" yWindow="-110" windowWidth="22180" windowHeight="14500" firstSheet="1" activeTab="1" xr2:uid="{A60419BD-B2C9-4DD6-8095-AC6E90C12279}"/>
  </bookViews>
  <sheets>
    <sheet name="Übersicht" sheetId="6" r:id="rId1"/>
    <sheet name="U19" sheetId="7" r:id="rId2"/>
    <sheet name="U77" sheetId="8" r:id="rId3"/>
    <sheet name="Tools" sheetId="9" r:id="rId4"/>
    <sheet name="Robinhood" sheetId="5" r:id="rId5"/>
    <sheet name="Trading 212" sheetId="12" r:id="rId6"/>
  </sheets>
  <definedNames>
    <definedName name="AUD">Tools!$B$6</definedName>
    <definedName name="CAD">Tools!$B$8</definedName>
    <definedName name="Kontowert">#REF!</definedName>
    <definedName name="Risikoloser_Zins">#REF!</definedName>
    <definedName name="USD">Tools!$B$5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D8" i="6"/>
  <c r="D12" i="6"/>
  <c r="D10" i="6"/>
  <c r="K12" i="12"/>
  <c r="Q33" i="7"/>
  <c r="Q28" i="7"/>
  <c r="Q27" i="7"/>
  <c r="B4" i="12" a="1"/>
  <c r="B6" i="8" a="1"/>
  <c r="B4" i="7" a="1"/>
  <c r="B8" i="9" a="1"/>
  <c r="B8" i="9"/>
  <c r="B7" i="9" a="1"/>
  <c r="B7" i="9"/>
  <c r="B6" i="9" a="1"/>
  <c r="B6" i="9"/>
  <c r="D6" i="9"/>
  <c r="B5" i="9" a="1"/>
  <c r="B5" i="9"/>
  <c r="E4" i="5"/>
  <c r="F4" i="5"/>
  <c r="A8" i="5"/>
  <c r="B8" i="5" a="1"/>
  <c r="C27" i="5"/>
  <c r="T29" i="8"/>
  <c r="T28" i="8"/>
  <c r="T27" i="8"/>
  <c r="T26" i="8"/>
  <c r="T25" i="8"/>
  <c r="Q29" i="8"/>
  <c r="Q28" i="8"/>
  <c r="Q27" i="8"/>
  <c r="Q26" i="8"/>
  <c r="Q25" i="8"/>
  <c r="S29" i="8"/>
  <c r="R29" i="8"/>
  <c r="S28" i="8"/>
  <c r="R28" i="8"/>
  <c r="S27" i="8"/>
  <c r="R27" i="8"/>
  <c r="S26" i="8"/>
  <c r="R26" i="8"/>
  <c r="S25" i="8"/>
  <c r="R25" i="8"/>
  <c r="B4" i="12"/>
  <c r="B8" i="5"/>
  <c r="B6" i="8"/>
  <c r="B4" i="7"/>
  <c r="Q5" i="7"/>
  <c r="Q13" i="7"/>
  <c r="Q11" i="7"/>
  <c r="Q7" i="7"/>
  <c r="Q8" i="7"/>
  <c r="Q9" i="7"/>
  <c r="Q10" i="7"/>
  <c r="Q12" i="7"/>
  <c r="Q6" i="7"/>
  <c r="K13" i="5"/>
  <c r="L13" i="5"/>
  <c r="Q26" i="7"/>
  <c r="Q25" i="7"/>
  <c r="Q24" i="7"/>
  <c r="Q23" i="7"/>
  <c r="Q22" i="7"/>
  <c r="Q21" i="7"/>
  <c r="Q20" i="7"/>
  <c r="Q19" i="7"/>
  <c r="Q18" i="7"/>
  <c r="Q17" i="7"/>
  <c r="Q16" i="7"/>
  <c r="Q14" i="7"/>
  <c r="Q15" i="7"/>
  <c r="T23" i="8"/>
  <c r="R13" i="8"/>
  <c r="R17" i="8"/>
  <c r="Q13" i="8"/>
  <c r="Q21" i="8"/>
  <c r="R9" i="8"/>
  <c r="R21" i="8"/>
  <c r="T22" i="8"/>
  <c r="T14" i="8"/>
  <c r="R10" i="8"/>
  <c r="R14" i="8"/>
  <c r="R18" i="8"/>
  <c r="R22" i="8"/>
  <c r="Q7" i="8"/>
  <c r="Q15" i="8"/>
  <c r="Q23" i="8"/>
  <c r="T8" i="8"/>
  <c r="T16" i="8"/>
  <c r="T24" i="8"/>
  <c r="R7" i="8"/>
  <c r="S10" i="8"/>
  <c r="S14" i="8"/>
  <c r="S18" i="8"/>
  <c r="S22" i="8"/>
  <c r="Q8" i="8"/>
  <c r="Q16" i="8"/>
  <c r="Q24" i="8"/>
  <c r="T9" i="8"/>
  <c r="T17" i="8"/>
  <c r="R11" i="8"/>
  <c r="R15" i="8"/>
  <c r="R19" i="8"/>
  <c r="R23" i="8"/>
  <c r="Q9" i="8"/>
  <c r="Q17" i="8"/>
  <c r="T10" i="8"/>
  <c r="T18" i="8"/>
  <c r="S7" i="8"/>
  <c r="S11" i="8"/>
  <c r="S15" i="8"/>
  <c r="S19" i="8"/>
  <c r="S23" i="8"/>
  <c r="Q10" i="8"/>
  <c r="Q18" i="8"/>
  <c r="T11" i="8"/>
  <c r="T19" i="8"/>
  <c r="R8" i="8"/>
  <c r="R12" i="8"/>
  <c r="R16" i="8"/>
  <c r="R20" i="8"/>
  <c r="R24" i="8"/>
  <c r="Q11" i="8"/>
  <c r="Q19" i="8"/>
  <c r="T12" i="8"/>
  <c r="T20" i="8"/>
  <c r="S8" i="8"/>
  <c r="S12" i="8"/>
  <c r="S16" i="8"/>
  <c r="S20" i="8"/>
  <c r="S24" i="8"/>
  <c r="Q12" i="8"/>
  <c r="Q20" i="8"/>
  <c r="T13" i="8"/>
  <c r="T21" i="8"/>
  <c r="S9" i="8"/>
  <c r="S13" i="8"/>
  <c r="S17" i="8"/>
  <c r="S21" i="8"/>
  <c r="Q14" i="8"/>
  <c r="Q22" i="8"/>
  <c r="T7" i="8"/>
  <c r="T15" i="8"/>
  <c r="D3" i="6"/>
  <c r="C25" i="5"/>
  <c r="Q31" i="8"/>
  <c r="T31" i="8"/>
  <c r="R31" i="8"/>
  <c r="S31" i="8"/>
  <c r="Q33" i="8"/>
  <c r="D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<sst xmlns="http://schemas.openxmlformats.org/spreadsheetml/2006/main" count="27" uniqueCount="27">
  <si>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Summe</t>
  </si>
  <si>
    <t>Robinhood - 30 Sekunden Verzögerung</t>
  </si>
  <si>
    <t>Export</t>
  </si>
  <si>
    <t>Robinhood</t>
  </si>
  <si>
    <t>U77</t>
  </si>
  <si>
    <t>U19</t>
  </si>
  <si>
    <t>Tools</t>
  </si>
  <si>
    <t>USDEUR</t>
  </si>
  <si>
    <t>AUDEUR</t>
  </si>
  <si>
    <t>GBPEUR</t>
  </si>
  <si>
    <t>CADEUR</t>
  </si>
  <si>
    <t>trading212</t>
  </si>
  <si>
    <t>Anpassung alle 5 Minuten</t>
  </si>
  <si>
    <t>Update</t>
  </si>
  <si>
    <t>ja</t>
  </si>
  <si>
    <t>Solana</t>
  </si>
  <si>
    <t>Estably Depot 1</t>
  </si>
  <si>
    <t>Estably Depot 2</t>
  </si>
  <si>
    <t>Estably Depot 3</t>
  </si>
  <si>
    <t>Aktien</t>
  </si>
  <si>
    <t>ETF</t>
  </si>
  <si>
    <t>Rohstoffe</t>
  </si>
  <si>
    <t>Summe Estably</t>
  </si>
  <si>
    <t>Coin</t>
  </si>
  <si>
    <t>Übersicht über alle Depots</t>
  </si>
  <si>
    <t>Trading 212</t>
  </si>
  <si>
    <t>Gesamte Depots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</si>
</sst>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164" formatCode="#,##0.00\ &quot;€&quot;"/>
    <numFmt numFmtId="165" formatCode="#,##0\ &quot;€&quot;"/>
    <numFmt numFmtId="166" formatCode="#,##0.00\ [$€-407]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6"/>
      <color rgb="FF525252"/>
      <name val="Courier New"/>
      <family val="3"/>
    </font>
    <font>
      <sz val="6"/>
      <color rgb="FF374151"/>
      <name val="Segoe UI"/>
      <family val="2"/>
    </font>
    <font>
      <b/>
      <sz val="7"/>
      <color rgb="FF000000"/>
      <name val="Microsoft YaHei"/>
      <family val="2"/>
    </font>
    <font>
      <sz val="20"/>
      <color theme="1"/>
      <name val="Aptos Narrow"/>
      <family val="2"/>
      <scheme val="minor"/>
    </font>
    <font>
      <sz val="20"/>
      <color rgb="FF525252"/>
      <name val="Courier New"/>
      <family val="3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505050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165" fontId="0" fillId="0" borderId="0" xfId="0" applyNumberFormat="1"/>
    <xf numFmtId="6" fontId="0" fillId="0" borderId="0" xfId="0" applyNumberFormat="1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vertical="center"/>
    </xf>
    <xf numFmtId="8" fontId="0" fillId="0" borderId="0" xfId="0" applyNumberFormat="1"/>
    <xf numFmtId="9" fontId="0" fillId="0" borderId="0" xfId="0" applyNumberFormat="1"/>
    <xf numFmtId="0" fontId="2" fillId="2" borderId="0" xfId="0" applyFont="1" applyFill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/>
    <xf numFmtId="3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0" fillId="2" borderId="0" xfId="0" applyFill="1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right"/>
    </xf>
    <xf numFmtId="166" fontId="0" fillId="0" borderId="0" xfId="0" applyNumberFormat="1"/>
    <xf numFmtId="166" fontId="1" fillId="0" borderId="0" xfId="0" applyNumberFormat="1" applyFont="1"/>
    <xf numFmtId="0" fontId="0" fillId="0" borderId="0" xfId="0" applyAlignment="1">
      <alignment horizontal="right"/>
    </xf>
    <xf numFmtId="14" fontId="0" fillId="0" borderId="0" xfId="0" applyNumberFormat="1"/>
    <xf numFmtId="0" fontId="7" fillId="0" borderId="0" xfId="0" applyFont="1"/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81B923F-DBD0-4DB1-9C07-70A5CC625CA2}">
  <we:reference id="wa200009892" version="1.0.0.3" store="en-US" storeType="OMEX"/>
  <we:alternateReferences>
    <we:reference id="wa200009892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_xldudf_SF</we:customFunctionIds>
        <we:customFunctionIds>_xldudf_SF_TIMESERIES</we:customFunctionIds>
        <we:customFunctionIds>_xldudf_SF_DIVIDEND</we:customFunctionIds>
        <we:customFunctionIds>_xldudf_SF_NEWS</we:customFunctionIds>
        <we:customFunctionIds>_xldudf_SF_TECHNICAL</we:customFunctionIds>
        <we:customFunctionIds>_xldudf_SF_MAP</we:customFunctionIds>
        <we:customFunctionIds>_xldudf_SF_SPARK</we:customFunctionIds>
        <we:customFunctionIds>_xldudf_SF_SCREEN</we:customFunctionIds>
        <we:customFunctionIds>_xldudf_SF_CALENDAR</we:customFunctionIds>
        <we:customFunctionIds>_xldudf_SF_BROKERAGE</we:customFunctionIds>
        <we:customFunctionIds>_xldudf_SF_OPTIONS</we:customFunctionIds>
        <we:customFunctionIds>_xldudf_SF_OPTIONS_PRO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B00AD7F-C92C-4E4C-ACD5-A20C8C3CEEB2}">
  <we:reference id="wa200006575" version="1.0.0.5" store="de-DE" storeType="OMEX"/>
  <we:alternateReferences>
    <we:reference id="WA200006575" version="1.0.0.5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4937-09A0-4438-965C-796640093ADC}">
  <dimension ref="A1:F20"/>
  <sheetViews>
    <sheetView workbookViewId="0">
      <selection activeCell="J8" sqref="J8"/>
    </sheetView>
  </sheetViews>
  <sheetFormatPr defaultColWidth="10.76171875" defaultRowHeight="15" x14ac:dyDescent="0.2"/>
  <cols>
    <col min="2" max="2" width="13.98828125" customWidth="1"/>
    <col min="4" max="4" width="11.296875" bestFit="1" customWidth="1"/>
  </cols>
  <sheetData>
    <row r="1" spans="1:6" s="6" customFormat="1" ht="30" customHeight="1" x14ac:dyDescent="0.2">
      <c r="A1" s="12" t="s">
        <v>24</v>
      </c>
      <c r="B1" s="12"/>
      <c r="C1" s="12"/>
      <c r="D1" s="12"/>
    </row>
    <row r="2" spans="1:6" s="6" customFormat="1" ht="30" customHeight="1" x14ac:dyDescent="0.2"/>
    <row r="3" spans="1:6" s="6" customFormat="1" ht="30" customHeight="1" x14ac:dyDescent="0.2">
      <c r="B3" s="6" t="s">
        <v>3</v>
      </c>
      <c r="C3" s="6" t="s">
        <v>23</v>
      </c>
      <c r="D3" s="11">
        <f>Robinhood!L13</f>
        <v>52260.560000000005</v>
      </c>
      <c r="F3" s="21"/>
    </row>
    <row r="4" spans="1:6" s="6" customFormat="1" ht="30" customHeight="1" x14ac:dyDescent="0.2"/>
    <row r="5" spans="1:6" s="6" customFormat="1" ht="30" customHeight="1" x14ac:dyDescent="0.2">
      <c r="B5" s="6" t="s">
        <v>16</v>
      </c>
      <c r="C5" s="6" t="s">
        <v>19</v>
      </c>
      <c r="D5" s="11">
        <f>'U19'!Q33</f>
        <v>318632.90632000001</v>
      </c>
    </row>
    <row r="6" spans="1:6" s="6" customFormat="1" ht="30" customHeight="1" x14ac:dyDescent="0.2">
      <c r="B6" s="6" t="s">
        <v>17</v>
      </c>
      <c r="C6" s="6" t="s">
        <v>20</v>
      </c>
    </row>
    <row r="7" spans="1:6" s="6" customFormat="1" ht="30" customHeight="1" thickBot="1" x14ac:dyDescent="0.25">
      <c r="B7" s="28" t="s">
        <v>18</v>
      </c>
      <c r="C7" s="28" t="s">
        <v>21</v>
      </c>
      <c r="D7" s="29">
        <f>'U77'!Q33</f>
        <v>152029.28090399998</v>
      </c>
    </row>
    <row r="8" spans="1:6" s="6" customFormat="1" ht="30" customHeight="1" x14ac:dyDescent="0.2">
      <c r="B8" s="6" t="s">
        <v>22</v>
      </c>
      <c r="D8" s="11">
        <f>SUM(D5:D7)</f>
        <v>470662.18722399999</v>
      </c>
    </row>
    <row r="9" spans="1:6" s="6" customFormat="1" ht="30" customHeight="1" x14ac:dyDescent="0.2">
      <c r="F9" s="11"/>
    </row>
    <row r="10" spans="1:6" s="6" customFormat="1" ht="30" customHeight="1" x14ac:dyDescent="0.2">
      <c r="B10" s="6" t="s">
        <v>25</v>
      </c>
      <c r="D10" s="11">
        <f>'Trading 212'!K12</f>
        <v>400.6</v>
      </c>
    </row>
    <row r="11" spans="1:6" s="6" customFormat="1" ht="30" customHeight="1" x14ac:dyDescent="0.2"/>
    <row r="12" spans="1:6" s="6" customFormat="1" ht="30" customHeight="1" x14ac:dyDescent="0.2">
      <c r="B12" s="30" t="s">
        <v>26</v>
      </c>
      <c r="C12" s="31"/>
      <c r="D12" s="30">
        <f>D3+D8+D10</f>
        <v>523323.34722399997</v>
      </c>
    </row>
    <row r="13" spans="1:6" s="6" customFormat="1" ht="30" customHeight="1" x14ac:dyDescent="0.2"/>
    <row r="14" spans="1:6" s="6" customFormat="1" ht="30" customHeight="1" x14ac:dyDescent="0.2"/>
    <row r="15" spans="1:6" s="6" customFormat="1" ht="30" customHeight="1" x14ac:dyDescent="0.2"/>
    <row r="16" spans="1:6" s="6" customFormat="1" ht="30" customHeight="1" x14ac:dyDescent="0.2"/>
    <row r="17" s="6" customFormat="1" ht="30" customHeight="1" x14ac:dyDescent="0.2"/>
    <row r="18" s="6" customFormat="1" ht="30" customHeight="1" x14ac:dyDescent="0.2"/>
    <row r="19" s="6" customFormat="1" ht="30" customHeight="1" x14ac:dyDescent="0.2"/>
    <row r="20" s="6" customFormat="1" ht="30" customHeight="1" x14ac:dyDescent="0.2"/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76BA-03B4-4D9C-97AD-727596969B4E}">
  <dimension ref="A4:Q33"/>
  <sheetViews>
    <sheetView tabSelected="1" workbookViewId="0">
      <selection activeCell="Q33" sqref="Q33"/>
    </sheetView>
  </sheetViews>
  <sheetFormatPr defaultColWidth="10.76171875" defaultRowHeight="15" x14ac:dyDescent="0.2"/>
  <cols>
    <col min="3" max="3" width="28.3828125" customWidth="1"/>
    <col min="5" max="5" width="22.46484375" bestFit="1" customWidth="1"/>
    <col min="6" max="6" width="16.6796875" bestFit="1" customWidth="1"/>
    <col min="11" max="11" width="11.296875" bestFit="1" customWidth="1"/>
    <col min="16" max="16" width="10.89453125" style="13"/>
    <col min="17" max="17" width="14.9296875" customWidth="1"/>
  </cols>
  <sheetData>
    <row r="4" spans="1:17" x14ac:dyDescent="0.2">
      <c r="A4" s="16" t="s">
        <v>5</v>
      </c>
      <c r="B4" s="9" t="str" cm="1">
        <f t="array" ref="B4:P28">_xldudf_SF_BROKERAGE(A4)</f>
        <v>Symbol</v>
      </c>
      <c r="C4" t="str">
        <v>Name</v>
      </c>
      <c r="D4" t="str">
        <v>Exchange</v>
      </c>
      <c r="E4" t="str">
        <v>Exchange Name</v>
      </c>
      <c r="F4" t="str">
        <v>Exchange Timezone</v>
      </c>
      <c r="G4" t="str">
        <v>Exchange Open</v>
      </c>
      <c r="H4" t="str">
        <v>Exchange Close</v>
      </c>
      <c r="I4" t="str">
        <v>Type</v>
      </c>
      <c r="J4" t="str">
        <v>Price</v>
      </c>
      <c r="K4" t="str">
        <v>Market Value</v>
      </c>
      <c r="L4" t="str">
        <v>Total Profit/Loss</v>
      </c>
      <c r="M4" t="str">
        <v>Total Profit/Loss (%)</v>
      </c>
      <c r="N4" t="str">
        <v>Units</v>
      </c>
      <c r="O4" t="str">
        <v>Average Purchase Price</v>
      </c>
      <c r="P4" s="13" t="str">
        <v>Currency</v>
      </c>
    </row>
    <row r="5" spans="1:17" x14ac:dyDescent="0.2">
      <c r="B5" t="str">
        <v>9TS.OLD</v>
      </c>
      <c r="C5" t="str">
        <v>TUBESOLAR AG</v>
      </c>
      <c r="D5" t="str">
        <v>OTCM</v>
      </c>
      <c r="E5" t="str">
        <v>Over-The-Counter Markets</v>
      </c>
      <c r="F5" t="str">
        <v>America/New_York</v>
      </c>
      <c r="G5" t="str">
        <v>09:30:00</v>
      </c>
      <c r="H5" t="str">
        <v>16:00:00</v>
      </c>
      <c r="I5" t="str">
        <v>Common Stock</v>
      </c>
      <c r="J5" s="7">
        <v>5.1999999999999998E-2</v>
      </c>
      <c r="K5" s="3">
        <v>5.2</v>
      </c>
      <c r="L5" s="7">
        <v>-457.8</v>
      </c>
      <c r="M5" s="8">
        <v>-0.98880000000000001</v>
      </c>
      <c r="N5">
        <v>100</v>
      </c>
      <c r="O5" s="7">
        <v>4.63</v>
      </c>
      <c r="P5" s="13" t="str">
        <v>EUR</v>
      </c>
      <c r="Q5" s="7">
        <f t="shared" ref="Q5:Q28" si="0">IF(P5="EUR",K5,K5*USD)</f>
        <v>5.2</v>
      </c>
    </row>
    <row r="6" spans="1:17" x14ac:dyDescent="0.2">
      <c r="B6" s="27" t="str">
        <v>AAOI</v>
      </c>
      <c r="C6" t="str">
        <v>Applied Optoelectronics, Inc.</v>
      </c>
      <c r="D6" t="str">
        <v>NASDAQ</v>
      </c>
      <c r="E6" t="str">
        <v>NASDAQ</v>
      </c>
      <c r="F6" t="str">
        <v>America/New_York</v>
      </c>
      <c r="G6" t="str">
        <v>09:30:00</v>
      </c>
      <c r="H6" t="str">
        <v>16:00:00</v>
      </c>
      <c r="I6" t="str">
        <v>Common Stock</v>
      </c>
      <c r="J6" s="7">
        <v>148.94</v>
      </c>
      <c r="K6" s="3">
        <v>7447</v>
      </c>
      <c r="L6" s="7">
        <v>2675.5</v>
      </c>
      <c r="M6" s="8">
        <v>0.56069999999999998</v>
      </c>
      <c r="N6">
        <v>50</v>
      </c>
      <c r="O6" s="7">
        <v>95.43</v>
      </c>
      <c r="P6" s="13" t="str">
        <v>USD</v>
      </c>
      <c r="Q6" s="7">
        <f t="shared" si="0"/>
        <v>6322.5029999999997</v>
      </c>
    </row>
    <row r="7" spans="1:17" x14ac:dyDescent="0.2">
      <c r="B7" s="27" t="str">
        <v>AMD</v>
      </c>
      <c r="C7" t="str">
        <v>Advanced Micro Devices, Inc.</v>
      </c>
      <c r="D7" t="str">
        <v>NASDAQ</v>
      </c>
      <c r="E7" t="str">
        <v>NASDAQ</v>
      </c>
      <c r="F7" t="str">
        <v>America/New_York</v>
      </c>
      <c r="G7" t="str">
        <v>09:30:00</v>
      </c>
      <c r="H7" t="str">
        <v>16:00:00</v>
      </c>
      <c r="I7" t="str">
        <v>Common Stock</v>
      </c>
      <c r="J7" s="7">
        <v>455.19</v>
      </c>
      <c r="K7" s="3">
        <v>29587.35</v>
      </c>
      <c r="L7" s="7">
        <v>12562.45</v>
      </c>
      <c r="M7" s="8">
        <v>0.7379</v>
      </c>
      <c r="N7">
        <v>65</v>
      </c>
      <c r="O7" s="7">
        <v>261.92153846000002</v>
      </c>
      <c r="P7" s="13" t="str">
        <v>USD</v>
      </c>
      <c r="Q7" s="7">
        <f t="shared" si="0"/>
        <v>25119.66015</v>
      </c>
    </row>
    <row r="8" spans="1:17" x14ac:dyDescent="0.2">
      <c r="B8" t="str">
        <v>AMZN</v>
      </c>
      <c r="C8" t="str">
        <v>Amazon.com, Inc.</v>
      </c>
      <c r="D8" t="str">
        <v>NASDAQ</v>
      </c>
      <c r="E8" t="str">
        <v>NASDAQ</v>
      </c>
      <c r="F8" t="str">
        <v>America/New_York</v>
      </c>
      <c r="G8" t="str">
        <v>09:30:00</v>
      </c>
      <c r="H8" t="str">
        <v>16:00:00</v>
      </c>
      <c r="I8" t="str">
        <v>Common Stock</v>
      </c>
      <c r="J8" s="7">
        <v>272.68</v>
      </c>
      <c r="K8" s="3">
        <v>27268</v>
      </c>
      <c r="L8" s="7">
        <v>2958.5</v>
      </c>
      <c r="M8" s="8">
        <v>0.1217</v>
      </c>
      <c r="N8">
        <v>100</v>
      </c>
      <c r="O8" s="7">
        <v>243.095</v>
      </c>
      <c r="P8" s="13" t="str">
        <v>USD</v>
      </c>
      <c r="Q8" s="7">
        <f t="shared" si="0"/>
        <v>23150.531999999999</v>
      </c>
    </row>
    <row r="9" spans="1:17" x14ac:dyDescent="0.2">
      <c r="B9" t="str">
        <v>ASML</v>
      </c>
      <c r="C9" t="str">
        <v>ASML Holding N.V. New York Registry Shares</v>
      </c>
      <c r="D9" t="str">
        <v>NASDAQ</v>
      </c>
      <c r="E9" t="str">
        <v>NASDAQ</v>
      </c>
      <c r="F9" t="str">
        <v>America/New_York</v>
      </c>
      <c r="G9" t="str">
        <v>09:30:00</v>
      </c>
      <c r="H9" t="str">
        <v>16:00:00</v>
      </c>
      <c r="I9" t="str">
        <v>American Depositary Receipt</v>
      </c>
      <c r="J9" s="7">
        <v>1592.02</v>
      </c>
      <c r="K9" s="3">
        <v>12736.16</v>
      </c>
      <c r="L9" s="7">
        <v>6198.56</v>
      </c>
      <c r="M9" s="8">
        <v>0.94810000000000005</v>
      </c>
      <c r="N9">
        <v>8</v>
      </c>
      <c r="O9" s="7">
        <v>817.2</v>
      </c>
      <c r="P9" s="13" t="str">
        <v>USD</v>
      </c>
      <c r="Q9" s="7">
        <f t="shared" si="0"/>
        <v>10812.99984</v>
      </c>
    </row>
    <row r="10" spans="1:17" x14ac:dyDescent="0.2">
      <c r="B10" t="str">
        <v>AVGO</v>
      </c>
      <c r="C10" t="str">
        <v>Broadcom Inc.</v>
      </c>
      <c r="D10" t="str">
        <v>NASDAQ</v>
      </c>
      <c r="E10" t="str">
        <v>NASDAQ</v>
      </c>
      <c r="F10" t="str">
        <v>America/New_York</v>
      </c>
      <c r="G10" t="str">
        <v>09:30:00</v>
      </c>
      <c r="H10" t="str">
        <v>16:00:00</v>
      </c>
      <c r="I10" t="str">
        <v>Common Stock</v>
      </c>
      <c r="J10" s="7">
        <v>430</v>
      </c>
      <c r="K10" s="3">
        <v>8600</v>
      </c>
      <c r="L10" s="7">
        <v>1133</v>
      </c>
      <c r="M10" s="8">
        <v>0.1517</v>
      </c>
      <c r="N10">
        <v>20</v>
      </c>
      <c r="O10" s="7">
        <v>373.35</v>
      </c>
      <c r="P10" s="13" t="str">
        <v>USD</v>
      </c>
      <c r="Q10" s="7">
        <f t="shared" si="0"/>
        <v>7301.4</v>
      </c>
    </row>
    <row r="11" spans="1:17" x14ac:dyDescent="0.2">
      <c r="B11" t="str">
        <v>BSX</v>
      </c>
      <c r="C11" t="str">
        <v>Boston Scientific Corporation</v>
      </c>
      <c r="D11" t="str">
        <v>NYSE</v>
      </c>
      <c r="E11" t="str">
        <v>New York Stock Exchange</v>
      </c>
      <c r="F11" t="str">
        <v>America/New_York</v>
      </c>
      <c r="G11" t="str">
        <v>09:30:00</v>
      </c>
      <c r="H11" t="str">
        <v>16:00:00</v>
      </c>
      <c r="I11" t="str">
        <v>Common Stock</v>
      </c>
      <c r="J11" s="7">
        <v>53.93</v>
      </c>
      <c r="K11" s="3">
        <v>5393</v>
      </c>
      <c r="L11" s="7">
        <v>-1018.88</v>
      </c>
      <c r="M11" s="8">
        <v>-0.15890000000000001</v>
      </c>
      <c r="N11">
        <v>100</v>
      </c>
      <c r="O11" s="7">
        <v>64.118799999999993</v>
      </c>
      <c r="P11" s="13" t="str">
        <v>USD</v>
      </c>
      <c r="Q11" s="7">
        <f t="shared" si="0"/>
        <v>4578.6570000000002</v>
      </c>
    </row>
    <row r="12" spans="1:17" x14ac:dyDescent="0.2">
      <c r="B12" t="str">
        <v>GOOGL</v>
      </c>
      <c r="C12" t="str">
        <v>Alphabet Inc.</v>
      </c>
      <c r="D12" t="str">
        <v>NASDAQ</v>
      </c>
      <c r="E12" t="str">
        <v>NASDAQ</v>
      </c>
      <c r="F12" t="str">
        <v>America/New_York</v>
      </c>
      <c r="G12" t="str">
        <v>09:30:00</v>
      </c>
      <c r="H12" t="str">
        <v>16:00:00</v>
      </c>
      <c r="I12" t="str">
        <v>Common Stock</v>
      </c>
      <c r="J12" s="7">
        <v>400.8</v>
      </c>
      <c r="K12" s="3">
        <v>32064</v>
      </c>
      <c r="L12" s="7">
        <v>3373.25</v>
      </c>
      <c r="M12" s="8">
        <v>0.1176</v>
      </c>
      <c r="N12">
        <v>80</v>
      </c>
      <c r="O12" s="7">
        <v>358.63437499999998</v>
      </c>
      <c r="P12" s="13" t="str">
        <v>USD</v>
      </c>
      <c r="Q12" s="7">
        <f t="shared" si="0"/>
        <v>27222.335999999999</v>
      </c>
    </row>
    <row r="13" spans="1:17" x14ac:dyDescent="0.2">
      <c r="B13" t="str">
        <v>HOOD</v>
      </c>
      <c r="C13" t="str">
        <v>Robinhood Markets, Inc.</v>
      </c>
      <c r="D13" t="str">
        <v>NASDAQ</v>
      </c>
      <c r="E13" t="str">
        <v>NASDAQ</v>
      </c>
      <c r="F13" t="str">
        <v>America/New_York</v>
      </c>
      <c r="G13" t="str">
        <v>09:30:00</v>
      </c>
      <c r="H13" t="str">
        <v>16:00:00</v>
      </c>
      <c r="I13" t="str">
        <v>Common Stock</v>
      </c>
      <c r="J13" s="7">
        <v>77.03</v>
      </c>
      <c r="K13" s="3">
        <v>15406</v>
      </c>
      <c r="L13" s="7">
        <v>103.1</v>
      </c>
      <c r="M13" s="8">
        <v>6.7000000000000002E-3</v>
      </c>
      <c r="N13">
        <v>200</v>
      </c>
      <c r="O13" s="7">
        <v>76.514499999999998</v>
      </c>
      <c r="P13" s="13" t="str">
        <v>USD</v>
      </c>
      <c r="Q13" s="7">
        <f t="shared" si="0"/>
        <v>13079.694</v>
      </c>
    </row>
    <row r="14" spans="1:17" x14ac:dyDescent="0.2">
      <c r="B14" t="str">
        <v>IBM.DE</v>
      </c>
      <c r="C14" t="str">
        <v>International Business Machines Corporation</v>
      </c>
      <c r="D14" t="str">
        <v>XETRA</v>
      </c>
      <c r="E14" t="str">
        <v>XETRA</v>
      </c>
      <c r="F14" t="str">
        <v>Europe/Berlin</v>
      </c>
      <c r="G14" t="str">
        <v>09:00:00</v>
      </c>
      <c r="H14" t="str">
        <v>17:30:00</v>
      </c>
      <c r="I14" t="str">
        <v>Common Stock</v>
      </c>
      <c r="J14" s="7">
        <v>194.42</v>
      </c>
      <c r="K14" s="3">
        <v>4532.9799999999996</v>
      </c>
      <c r="L14" s="7">
        <v>-474.01</v>
      </c>
      <c r="M14" s="8">
        <v>-9.4700000000000006E-2</v>
      </c>
      <c r="N14">
        <v>23.3154</v>
      </c>
      <c r="O14" s="7">
        <v>214.75023002</v>
      </c>
      <c r="P14" s="13" t="str">
        <v>EUR</v>
      </c>
      <c r="Q14" s="7">
        <f t="shared" si="0"/>
        <v>4532.9799999999996</v>
      </c>
    </row>
    <row r="15" spans="1:17" x14ac:dyDescent="0.2">
      <c r="B15" t="str">
        <v>KTOS</v>
      </c>
      <c r="C15" t="str">
        <v>Kratos Defense &amp; Security Solutions, Inc.</v>
      </c>
      <c r="D15" t="str">
        <v>NASDAQ</v>
      </c>
      <c r="E15" t="str">
        <v>NASDAQ</v>
      </c>
      <c r="F15" t="str">
        <v>America/New_York</v>
      </c>
      <c r="G15" t="str">
        <v>09:30:00</v>
      </c>
      <c r="H15" t="str">
        <v>16:00:00</v>
      </c>
      <c r="I15" t="str">
        <v>Common Stock</v>
      </c>
      <c r="J15" s="7">
        <v>57.89</v>
      </c>
      <c r="K15" s="3">
        <v>8683.5</v>
      </c>
      <c r="L15" s="7">
        <v>-1176</v>
      </c>
      <c r="M15" s="8">
        <v>-0.1193</v>
      </c>
      <c r="N15">
        <v>150</v>
      </c>
      <c r="O15" s="7">
        <v>65.73</v>
      </c>
      <c r="P15" s="13" t="str">
        <v>USD</v>
      </c>
      <c r="Q15" s="7">
        <f t="shared" si="0"/>
        <v>7372.2914999999994</v>
      </c>
    </row>
    <row r="16" spans="1:17" x14ac:dyDescent="0.2">
      <c r="B16" t="str">
        <v>LHX</v>
      </c>
      <c r="C16" t="str">
        <v>L3Harris Technologies, Inc.</v>
      </c>
      <c r="D16" t="str">
        <v>NYSE</v>
      </c>
      <c r="E16" t="str">
        <v>New York Stock Exchange</v>
      </c>
      <c r="F16" t="str">
        <v>America/New_York</v>
      </c>
      <c r="G16" t="str">
        <v>09:30:00</v>
      </c>
      <c r="H16" t="str">
        <v>16:00:00</v>
      </c>
      <c r="I16" t="str">
        <v>Common Stock</v>
      </c>
      <c r="J16">
        <v>299.64</v>
      </c>
      <c r="K16">
        <v>14982</v>
      </c>
      <c r="L16">
        <v>-2120.5</v>
      </c>
      <c r="M16">
        <v>-0.124</v>
      </c>
      <c r="N16">
        <v>50</v>
      </c>
      <c r="O16">
        <v>342.05</v>
      </c>
      <c r="P16" s="13" t="str">
        <v>USD</v>
      </c>
      <c r="Q16" s="7">
        <f t="shared" si="0"/>
        <v>12719.717999999999</v>
      </c>
    </row>
    <row r="17" spans="2:17" x14ac:dyDescent="0.2">
      <c r="B17" t="str">
        <v>LLY.DE</v>
      </c>
      <c r="C17" t="str">
        <v>Eli Lilly and Company</v>
      </c>
      <c r="D17" t="str">
        <v>XETRA</v>
      </c>
      <c r="E17" t="str">
        <v>XETRA</v>
      </c>
      <c r="F17" t="str">
        <v>Europe/Berlin</v>
      </c>
      <c r="G17" t="str">
        <v>09:00:00</v>
      </c>
      <c r="H17" t="str">
        <v>17:30:00</v>
      </c>
      <c r="I17" t="str">
        <v>Common Stock</v>
      </c>
      <c r="J17">
        <v>809.7</v>
      </c>
      <c r="K17">
        <v>8097</v>
      </c>
      <c r="L17">
        <v>383.22</v>
      </c>
      <c r="M17">
        <v>4.9700000000000001E-2</v>
      </c>
      <c r="N17">
        <v>10</v>
      </c>
      <c r="O17">
        <v>771.37842000000001</v>
      </c>
      <c r="P17" s="13" t="str">
        <v>EUR</v>
      </c>
      <c r="Q17" s="7">
        <f t="shared" si="0"/>
        <v>8097</v>
      </c>
    </row>
    <row r="18" spans="2:17" x14ac:dyDescent="0.2">
      <c r="B18" s="27" t="str">
        <v>MCD</v>
      </c>
      <c r="C18" t="str">
        <v>McDonald's Corporation</v>
      </c>
      <c r="D18" t="str">
        <v>NYSE</v>
      </c>
      <c r="E18" t="str">
        <v>New York Stock Exchange</v>
      </c>
      <c r="F18" t="str">
        <v>America/New_York</v>
      </c>
      <c r="G18" t="str">
        <v>09:30:00</v>
      </c>
      <c r="H18" t="str">
        <v>16:00:00</v>
      </c>
      <c r="I18" t="str">
        <v>Common Stock</v>
      </c>
      <c r="J18">
        <v>275.75</v>
      </c>
      <c r="K18">
        <v>9651.25</v>
      </c>
      <c r="L18">
        <v>-284.05</v>
      </c>
      <c r="M18">
        <v>-2.86E-2</v>
      </c>
      <c r="N18">
        <v>35</v>
      </c>
      <c r="O18">
        <v>283.86571429000003</v>
      </c>
      <c r="P18" s="13" t="str">
        <v>USD</v>
      </c>
      <c r="Q18" s="7">
        <f t="shared" si="0"/>
        <v>8193.9112499999992</v>
      </c>
    </row>
    <row r="19" spans="2:17" x14ac:dyDescent="0.2">
      <c r="B19" t="str">
        <v>MICC.AS</v>
      </c>
      <c r="C19" t="str">
        <v>The Magnum Ice Cream Company N.V.</v>
      </c>
      <c r="D19" t="str">
        <v>AEX</v>
      </c>
      <c r="E19" t="str">
        <v>Euronext Amsterdam</v>
      </c>
      <c r="F19" t="str">
        <v>Europe/Amsterdam</v>
      </c>
      <c r="G19" t="str">
        <v>09:00:00</v>
      </c>
      <c r="H19" t="str">
        <v>17:40:00</v>
      </c>
      <c r="I19" t="str">
        <v>Common Stock</v>
      </c>
      <c r="J19">
        <v>12.6</v>
      </c>
      <c r="K19">
        <v>5178.6000000000004</v>
      </c>
      <c r="L19">
        <v>182.07</v>
      </c>
      <c r="M19">
        <v>3.6400000000000002E-2</v>
      </c>
      <c r="N19">
        <v>411</v>
      </c>
      <c r="O19">
        <v>12.156995999999999</v>
      </c>
      <c r="P19" s="13" t="str">
        <v>EUR</v>
      </c>
      <c r="Q19" s="7">
        <f t="shared" si="0"/>
        <v>5178.6000000000004</v>
      </c>
    </row>
    <row r="20" spans="2:17" x14ac:dyDescent="0.2">
      <c r="B20" s="27" t="str">
        <v>MU</v>
      </c>
      <c r="C20" t="str">
        <v>Micron Technology, Inc.</v>
      </c>
      <c r="D20" t="str">
        <v>NASDAQ</v>
      </c>
      <c r="E20" t="str">
        <v>NASDAQ</v>
      </c>
      <c r="F20" t="str">
        <v>America/New_York</v>
      </c>
      <c r="G20" t="str">
        <v>09:30:00</v>
      </c>
      <c r="H20" t="str">
        <v>16:00:00</v>
      </c>
      <c r="I20" t="str">
        <v>Common Stock</v>
      </c>
      <c r="J20">
        <v>746.81</v>
      </c>
      <c r="K20">
        <v>59744.800000000003</v>
      </c>
      <c r="L20">
        <v>18103.2</v>
      </c>
      <c r="M20">
        <v>0.43469999999999998</v>
      </c>
      <c r="N20">
        <v>80</v>
      </c>
      <c r="O20">
        <v>520.52</v>
      </c>
      <c r="P20" s="13" t="str">
        <v>USD</v>
      </c>
      <c r="Q20" s="7">
        <f t="shared" si="0"/>
        <v>50723.335200000001</v>
      </c>
    </row>
    <row r="21" spans="2:17" x14ac:dyDescent="0.2">
      <c r="B21" t="str">
        <v>NBIS</v>
      </c>
      <c r="C21" t="str">
        <v>Nebius Group N.V.</v>
      </c>
      <c r="D21" t="str">
        <v>NASDAQ</v>
      </c>
      <c r="E21" t="str">
        <v>NASDAQ</v>
      </c>
      <c r="F21" t="str">
        <v>America/New_York</v>
      </c>
      <c r="G21" t="str">
        <v>09:30:00</v>
      </c>
      <c r="H21" t="str">
        <v>16:00:00</v>
      </c>
      <c r="I21" t="str">
        <v>Common Stock</v>
      </c>
      <c r="J21">
        <v>177.05</v>
      </c>
      <c r="K21">
        <v>47803.5</v>
      </c>
      <c r="L21">
        <v>17229.7</v>
      </c>
      <c r="M21">
        <v>0.5635</v>
      </c>
      <c r="N21">
        <v>270</v>
      </c>
      <c r="O21">
        <v>113.23629630000001</v>
      </c>
      <c r="P21" s="13" t="str">
        <v>USD</v>
      </c>
      <c r="Q21" s="7">
        <f t="shared" si="0"/>
        <v>40585.171499999997</v>
      </c>
    </row>
    <row r="22" spans="2:17" x14ac:dyDescent="0.2">
      <c r="B22" t="str">
        <v>NET</v>
      </c>
      <c r="C22" t="str">
        <v>Cloudflare Inc.</v>
      </c>
      <c r="D22" t="str">
        <v>NYSE</v>
      </c>
      <c r="E22" t="str">
        <v>New York Stock Exchange</v>
      </c>
      <c r="F22" t="str">
        <v>America/New_York</v>
      </c>
      <c r="G22" t="str">
        <v>09:30:00</v>
      </c>
      <c r="H22" t="str">
        <v>16:00:00</v>
      </c>
      <c r="I22" t="str">
        <v>Common Stock</v>
      </c>
      <c r="J22">
        <v>196.13</v>
      </c>
      <c r="K22">
        <v>9806.5</v>
      </c>
      <c r="L22">
        <v>-270</v>
      </c>
      <c r="M22">
        <v>-2.6800000000000001E-2</v>
      </c>
      <c r="N22">
        <v>50</v>
      </c>
      <c r="O22">
        <v>201.53</v>
      </c>
      <c r="P22" s="13" t="str">
        <v>USD</v>
      </c>
      <c r="Q22" s="7">
        <f t="shared" si="0"/>
        <v>8325.718499999999</v>
      </c>
    </row>
    <row r="23" spans="2:17" x14ac:dyDescent="0.2">
      <c r="B23" t="str">
        <v>NFLX</v>
      </c>
      <c r="C23" t="str">
        <v>Netflix, Inc.</v>
      </c>
      <c r="D23" t="str">
        <v>NASDAQ</v>
      </c>
      <c r="E23" t="str">
        <v>NASDAQ</v>
      </c>
      <c r="F23" t="str">
        <v>America/New_York</v>
      </c>
      <c r="G23" t="str">
        <v>09:30:00</v>
      </c>
      <c r="H23" t="str">
        <v>16:00:00</v>
      </c>
      <c r="I23" t="str">
        <v>Common Stock</v>
      </c>
      <c r="J23">
        <v>87.49</v>
      </c>
      <c r="K23">
        <v>2624.7</v>
      </c>
      <c r="L23">
        <v>-304.5</v>
      </c>
      <c r="M23">
        <v>-0.104</v>
      </c>
      <c r="N23">
        <v>30</v>
      </c>
      <c r="O23">
        <v>97.64</v>
      </c>
      <c r="P23" s="13" t="str">
        <v>USD</v>
      </c>
      <c r="Q23" s="7">
        <f t="shared" si="0"/>
        <v>2228.3702999999996</v>
      </c>
    </row>
    <row r="24" spans="2:17" x14ac:dyDescent="0.2">
      <c r="B24" t="str">
        <v>PO1.DE</v>
      </c>
      <c r="C24" t="str">
        <v>Performance One AG</v>
      </c>
      <c r="D24" t="str">
        <v>XETRA</v>
      </c>
      <c r="E24" t="str">
        <v>XETRA</v>
      </c>
      <c r="F24" t="str">
        <v>Europe/Berlin</v>
      </c>
      <c r="G24" t="str">
        <v>09:00:00</v>
      </c>
      <c r="H24" t="str">
        <v>17:30:00</v>
      </c>
      <c r="I24" t="str">
        <v>Common Stock</v>
      </c>
      <c r="J24">
        <v>1.76</v>
      </c>
      <c r="K24">
        <v>15100.8</v>
      </c>
      <c r="L24">
        <v>813.6</v>
      </c>
      <c r="M24">
        <v>5.6899999999999999E-2</v>
      </c>
      <c r="N24">
        <v>8580</v>
      </c>
      <c r="O24">
        <v>1.66517483</v>
      </c>
      <c r="P24" s="13" t="str">
        <v>EUR</v>
      </c>
      <c r="Q24" s="7">
        <f t="shared" si="0"/>
        <v>15100.8</v>
      </c>
    </row>
    <row r="25" spans="2:17" x14ac:dyDescent="0.2">
      <c r="B25" t="str">
        <v>RHM.DE</v>
      </c>
      <c r="C25" t="str">
        <v>Rheinmetall AG</v>
      </c>
      <c r="D25" t="str">
        <v>XETRA</v>
      </c>
      <c r="E25" t="str">
        <v>XETRA</v>
      </c>
      <c r="F25" t="str">
        <v>Europe/Berlin</v>
      </c>
      <c r="G25" t="str">
        <v>09:00:00</v>
      </c>
      <c r="H25" t="str">
        <v>17:30:00</v>
      </c>
      <c r="I25" t="str">
        <v>Common Stock</v>
      </c>
      <c r="J25">
        <v>1218.4000000000001</v>
      </c>
      <c r="K25">
        <v>12184</v>
      </c>
      <c r="L25">
        <v>6.98</v>
      </c>
      <c r="M25">
        <v>5.9999999999999995E-4</v>
      </c>
      <c r="N25">
        <v>10</v>
      </c>
      <c r="O25">
        <v>1217.7023999999999</v>
      </c>
      <c r="P25" s="13" t="str">
        <v>EUR</v>
      </c>
      <c r="Q25" s="7">
        <f t="shared" si="0"/>
        <v>12184</v>
      </c>
    </row>
    <row r="26" spans="2:17" x14ac:dyDescent="0.2">
      <c r="B26" t="str">
        <v>SLN</v>
      </c>
      <c r="C26" t="str">
        <v>Silence Therapeutics plc ADR</v>
      </c>
      <c r="D26" t="str">
        <v>NASDAQ</v>
      </c>
      <c r="E26" t="str">
        <v>NASDAQ</v>
      </c>
      <c r="F26" t="str">
        <v>America/New_York</v>
      </c>
      <c r="G26" t="str">
        <v>09:30:00</v>
      </c>
      <c r="H26" t="str">
        <v>16:00:00</v>
      </c>
      <c r="I26" t="str">
        <v>American Depositary Receipt</v>
      </c>
      <c r="J26">
        <v>6.97</v>
      </c>
      <c r="K26">
        <v>947.92</v>
      </c>
      <c r="L26">
        <v>-51.96</v>
      </c>
      <c r="M26">
        <v>-5.1999999999999998E-2</v>
      </c>
      <c r="N26">
        <v>136</v>
      </c>
      <c r="O26">
        <v>7.3520588199999999</v>
      </c>
      <c r="P26" s="13" t="str">
        <v>USD</v>
      </c>
      <c r="Q26" s="7">
        <f t="shared" si="0"/>
        <v>804.7840799999999</v>
      </c>
    </row>
    <row r="27" spans="2:17" x14ac:dyDescent="0.2">
      <c r="B27" t="str">
        <v>SLNC.PA</v>
      </c>
      <c r="C27" t="str">
        <v>CoinShares Physical Staked Solana</v>
      </c>
      <c r="D27" t="str">
        <v>PAR</v>
      </c>
      <c r="E27" t="str">
        <v>Euronext Paris</v>
      </c>
      <c r="F27" t="str">
        <v>Europe/Paris</v>
      </c>
      <c r="G27" t="str">
        <v>09:00:00</v>
      </c>
      <c r="H27" t="str">
        <v>17:30:00</v>
      </c>
      <c r="I27" t="str">
        <v>ETF</v>
      </c>
      <c r="J27">
        <v>8.5250000000000004</v>
      </c>
      <c r="K27">
        <v>17050</v>
      </c>
      <c r="L27">
        <v>8.17</v>
      </c>
      <c r="M27">
        <v>5.0000000000000001E-4</v>
      </c>
      <c r="N27">
        <v>2000</v>
      </c>
      <c r="O27">
        <v>8.5209126000000008</v>
      </c>
      <c r="P27" s="13" t="str">
        <v>EUR</v>
      </c>
      <c r="Q27" s="7">
        <f t="shared" si="0"/>
        <v>17050</v>
      </c>
    </row>
    <row r="28" spans="2:17" x14ac:dyDescent="0.2">
      <c r="B28" t="str">
        <v>WULF</v>
      </c>
      <c r="C28" t="str">
        <v>TeraWulf Inc.</v>
      </c>
      <c r="D28" t="str">
        <v>NASDAQ</v>
      </c>
      <c r="E28" t="str">
        <v>NASDAQ</v>
      </c>
      <c r="F28" t="str">
        <v>America/New_York</v>
      </c>
      <c r="G28" t="str">
        <v>09:30:00</v>
      </c>
      <c r="H28" t="str">
        <v>16:00:00</v>
      </c>
      <c r="I28" t="str">
        <v>Common Stock</v>
      </c>
      <c r="J28">
        <v>23.39</v>
      </c>
      <c r="K28">
        <v>9356</v>
      </c>
      <c r="L28">
        <v>2944.28</v>
      </c>
      <c r="M28">
        <v>0.4592</v>
      </c>
      <c r="N28">
        <v>400</v>
      </c>
      <c r="O28">
        <v>16.029299999999999</v>
      </c>
      <c r="P28" s="13" t="str">
        <v>USD</v>
      </c>
      <c r="Q28" s="7">
        <f t="shared" si="0"/>
        <v>7943.2439999999997</v>
      </c>
    </row>
    <row r="33" spans="17:17" x14ac:dyDescent="0.2">
      <c r="Q33" s="7">
        <f>SUM(Q5:Q28)</f>
        <v>318632.90632000001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FBE9-81CA-4821-9DD2-DD5DC727CF90}">
  <dimension ref="A6:T33"/>
  <sheetViews>
    <sheetView topLeftCell="L1" workbookViewId="0">
      <selection activeCell="T7" sqref="T7"/>
    </sheetView>
  </sheetViews>
  <sheetFormatPr defaultColWidth="10.76171875" defaultRowHeight="15" x14ac:dyDescent="0.2"/>
  <cols>
    <col min="1" max="1" width="12.23828125" bestFit="1" customWidth="1"/>
    <col min="3" max="3" width="36.3203125" bestFit="1" customWidth="1"/>
    <col min="5" max="5" width="22.1953125" bestFit="1" customWidth="1"/>
    <col min="6" max="6" width="16.6796875" bestFit="1" customWidth="1"/>
    <col min="9" max="9" width="0" hidden="1" customWidth="1"/>
    <col min="10" max="10" width="11.02734375" bestFit="1" customWidth="1"/>
    <col min="11" max="12" width="11.296875" bestFit="1" customWidth="1"/>
    <col min="17" max="19" width="14.66015625" customWidth="1"/>
  </cols>
  <sheetData>
    <row r="6" spans="1:20" x14ac:dyDescent="0.2">
      <c r="A6" s="14" t="s">
        <v>4</v>
      </c>
      <c r="B6" s="9" t="str" cm="1">
        <f t="array" ref="B6:P21">_xldudf_SF_BROKERAGE(A6)</f>
        <v>Symbol</v>
      </c>
      <c r="C6" t="str">
        <v>Name</v>
      </c>
      <c r="D6" t="str">
        <v>Exchange</v>
      </c>
      <c r="E6" t="str">
        <v>Exchange Name</v>
      </c>
      <c r="F6" t="str">
        <v>Exchange Timezone</v>
      </c>
      <c r="G6" t="str">
        <v>Exchange Open</v>
      </c>
      <c r="H6" t="str">
        <v>Exchange Close</v>
      </c>
      <c r="I6" t="str">
        <v>Type</v>
      </c>
      <c r="J6" t="str">
        <v>Price</v>
      </c>
      <c r="K6" t="str">
        <v>Market Value</v>
      </c>
      <c r="L6" t="str">
        <v>Total Profit/Loss</v>
      </c>
      <c r="M6" t="str">
        <v>Total Profit/Loss (%)</v>
      </c>
      <c r="N6" t="str">
        <v>Units</v>
      </c>
      <c r="O6" t="str">
        <v>Average Purchase Price</v>
      </c>
      <c r="P6" s="13" t="str">
        <v>Currency</v>
      </c>
    </row>
    <row r="7" spans="1:20" x14ac:dyDescent="0.2">
      <c r="B7" t="str">
        <v>8GCA.F</v>
      </c>
      <c r="C7" t="str">
        <v>Glencore plc</v>
      </c>
      <c r="D7" t="str">
        <v>FWB</v>
      </c>
      <c r="E7" t="str">
        <v>Frankfurt Stock Exchange</v>
      </c>
      <c r="F7" t="str">
        <v>Europe/Berlin</v>
      </c>
      <c r="G7" t="str">
        <v>08:00:00</v>
      </c>
      <c r="H7" t="str">
        <v>20:00:00</v>
      </c>
      <c r="I7" t="str">
        <v>Common Stock</v>
      </c>
      <c r="J7" s="7">
        <v>13</v>
      </c>
      <c r="K7" s="7">
        <v>6500</v>
      </c>
      <c r="L7" s="7">
        <v>1142.51</v>
      </c>
      <c r="M7" s="8">
        <v>0.21329999999999999</v>
      </c>
      <c r="N7" s="15">
        <v>500</v>
      </c>
      <c r="O7" s="7">
        <v>10.714980000000001</v>
      </c>
      <c r="P7" s="13" t="str">
        <v>EUR</v>
      </c>
      <c r="Q7" s="7">
        <f>IF(P7="EUR",K7,"…")</f>
        <v>6500</v>
      </c>
      <c r="R7" s="22" t="str">
        <f t="shared" ref="R7:R29" si="0">IF(P7="USD",K7*USD,"…")</f>
        <v>…</v>
      </c>
      <c r="S7" s="22" t="str">
        <f t="shared" ref="S7:S29" si="1">IF(P7="AUD",K7*AUD,"…")</f>
        <v>…</v>
      </c>
      <c r="T7" s="22" t="str">
        <f t="shared" ref="T7:T29" si="2">IF(P7="CAD",K7*CAD,"…")</f>
        <v>…</v>
      </c>
    </row>
    <row r="8" spans="1:20" x14ac:dyDescent="0.2">
      <c r="B8" t="str">
        <v>AGI</v>
      </c>
      <c r="C8" t="str">
        <v>Alamos Gold Inc.</v>
      </c>
      <c r="D8" t="str">
        <v>NYSE</v>
      </c>
      <c r="E8" t="str">
        <v>New York Stock Exchange</v>
      </c>
      <c r="F8" t="str">
        <v>America/New_York</v>
      </c>
      <c r="G8" t="str">
        <v>09:30:00</v>
      </c>
      <c r="H8" t="str">
        <v>16:00:00</v>
      </c>
      <c r="I8" t="str">
        <v>Common Stock</v>
      </c>
      <c r="J8" s="7">
        <v>43.38</v>
      </c>
      <c r="K8" s="7">
        <v>8676</v>
      </c>
      <c r="L8" s="7">
        <v>114.32</v>
      </c>
      <c r="M8" s="8">
        <v>1.34E-2</v>
      </c>
      <c r="N8" s="15">
        <v>200</v>
      </c>
      <c r="O8" s="7">
        <v>42.808399999999999</v>
      </c>
      <c r="P8" s="13" t="str">
        <v>USD</v>
      </c>
      <c r="Q8" s="7" t="str">
        <f t="shared" ref="Q8:Q29" si="3">IF(P8="EUR",K8,"…")</f>
        <v>…</v>
      </c>
      <c r="R8" s="22">
        <f t="shared" si="0"/>
        <v>7365.924</v>
      </c>
      <c r="S8" s="22" t="str">
        <f t="shared" si="1"/>
        <v>…</v>
      </c>
      <c r="T8" s="22" t="str">
        <f t="shared" si="2"/>
        <v>…</v>
      </c>
    </row>
    <row r="9" spans="1:20" x14ac:dyDescent="0.2">
      <c r="B9" t="str">
        <v>AII.AX</v>
      </c>
      <c r="C9" t="str">
        <v>Almonty Industries Inc. Chess Depositary Interests</v>
      </c>
      <c r="D9" t="str">
        <v>ASX</v>
      </c>
      <c r="E9" t="str">
        <v>Australian Stock Exchange</v>
      </c>
      <c r="F9" t="str">
        <v>Australia/Sydney</v>
      </c>
      <c r="G9" t="str">
        <v>10:00:00</v>
      </c>
      <c r="H9" t="str">
        <v>16:00:00</v>
      </c>
      <c r="I9" t="str">
        <v>Common Stock</v>
      </c>
      <c r="J9" s="7">
        <v>27.27</v>
      </c>
      <c r="K9" s="7">
        <v>2727</v>
      </c>
      <c r="L9" s="7">
        <v>867</v>
      </c>
      <c r="M9" s="8">
        <v>0.46610000000000001</v>
      </c>
      <c r="N9" s="15">
        <v>100</v>
      </c>
      <c r="O9" s="7">
        <v>18.600000000000001</v>
      </c>
      <c r="P9" s="13" t="str">
        <v>AUD</v>
      </c>
      <c r="Q9" s="7" t="str">
        <f t="shared" si="3"/>
        <v>…</v>
      </c>
      <c r="R9" s="22" t="str">
        <f t="shared" si="0"/>
        <v>…</v>
      </c>
      <c r="S9" s="22">
        <f t="shared" si="1"/>
        <v>1676.7504900000001</v>
      </c>
      <c r="T9" s="22" t="str">
        <f t="shared" si="2"/>
        <v>…</v>
      </c>
    </row>
    <row r="10" spans="1:20" x14ac:dyDescent="0.2">
      <c r="B10" t="str">
        <v>ALM</v>
      </c>
      <c r="C10" t="str">
        <v>Almonty Industries Inc.</v>
      </c>
      <c r="D10" t="str">
        <v>NASDAQ</v>
      </c>
      <c r="E10" t="str">
        <v>NASDAQ</v>
      </c>
      <c r="F10" t="str">
        <v>America/New_York</v>
      </c>
      <c r="G10" t="str">
        <v>09:30:00</v>
      </c>
      <c r="H10" t="str">
        <v>16:00:00</v>
      </c>
      <c r="I10" t="str">
        <v>Common Stock</v>
      </c>
      <c r="J10" s="7">
        <v>19.68</v>
      </c>
      <c r="K10" s="7">
        <v>38908.85</v>
      </c>
      <c r="L10" s="7">
        <v>5498.11</v>
      </c>
      <c r="M10" s="8">
        <v>0.1646</v>
      </c>
      <c r="N10" s="15">
        <v>1977.0758000000001</v>
      </c>
      <c r="O10" s="7">
        <v>16.899070810000001</v>
      </c>
      <c r="P10" s="13" t="str">
        <v>USD</v>
      </c>
      <c r="Q10" s="7" t="str">
        <f t="shared" si="3"/>
        <v>…</v>
      </c>
      <c r="R10" s="22">
        <f t="shared" si="0"/>
        <v>33033.613649999999</v>
      </c>
      <c r="S10" s="22" t="str">
        <f t="shared" si="1"/>
        <v>…</v>
      </c>
      <c r="T10" s="22" t="str">
        <f t="shared" si="2"/>
        <v>…</v>
      </c>
    </row>
    <row r="11" spans="1:20" x14ac:dyDescent="0.2">
      <c r="B11" t="str">
        <v>CCJ</v>
      </c>
      <c r="C11" t="str">
        <v>Cameco Corporation</v>
      </c>
      <c r="D11" t="str">
        <v>NYSE</v>
      </c>
      <c r="E11" t="str">
        <v>New York Stock Exchange</v>
      </c>
      <c r="F11" t="str">
        <v>America/New_York</v>
      </c>
      <c r="G11" t="str">
        <v>09:30:00</v>
      </c>
      <c r="H11" t="str">
        <v>16:00:00</v>
      </c>
      <c r="I11" t="str">
        <v>Common Stock</v>
      </c>
      <c r="J11" s="7">
        <v>116.75</v>
      </c>
      <c r="K11" s="7">
        <v>7005</v>
      </c>
      <c r="L11" s="7">
        <v>45.6</v>
      </c>
      <c r="M11" s="8">
        <v>6.6E-3</v>
      </c>
      <c r="N11" s="15">
        <v>60</v>
      </c>
      <c r="O11" s="7">
        <v>115.99</v>
      </c>
      <c r="P11" s="13" t="str">
        <v>USD</v>
      </c>
      <c r="Q11" s="7" t="str">
        <f t="shared" si="3"/>
        <v>…</v>
      </c>
      <c r="R11" s="22">
        <f t="shared" si="0"/>
        <v>5947.2449999999999</v>
      </c>
      <c r="S11" s="22" t="str">
        <f t="shared" si="1"/>
        <v>…</v>
      </c>
      <c r="T11" s="22" t="str">
        <f t="shared" si="2"/>
        <v>…</v>
      </c>
    </row>
    <row r="12" spans="1:20" x14ac:dyDescent="0.2">
      <c r="B12" t="str">
        <v>EQR.AX</v>
      </c>
      <c r="C12" t="str">
        <v>EQ Resources Limited</v>
      </c>
      <c r="D12" t="str">
        <v>ASX</v>
      </c>
      <c r="E12" t="str">
        <v>Australian Stock Exchange</v>
      </c>
      <c r="F12" t="str">
        <v>Australia/Sydney</v>
      </c>
      <c r="G12" t="str">
        <v>10:00:00</v>
      </c>
      <c r="H12" t="str">
        <v>16:00:00</v>
      </c>
      <c r="I12" t="str">
        <v>Common Stock</v>
      </c>
      <c r="J12" s="7">
        <v>0.26</v>
      </c>
      <c r="K12" s="7">
        <v>78000</v>
      </c>
      <c r="L12" s="7">
        <v>56627.71</v>
      </c>
      <c r="M12" s="8">
        <v>2.6496</v>
      </c>
      <c r="N12" s="15">
        <v>300000</v>
      </c>
      <c r="O12" s="7">
        <v>7.1240970000000001E-2</v>
      </c>
      <c r="P12" s="13" t="str">
        <v>AUD</v>
      </c>
      <c r="Q12" s="7" t="str">
        <f t="shared" si="3"/>
        <v>…</v>
      </c>
      <c r="R12" s="22" t="str">
        <f t="shared" si="0"/>
        <v>…</v>
      </c>
      <c r="S12" s="22">
        <f t="shared" si="1"/>
        <v>47959.86</v>
      </c>
      <c r="T12" s="22" t="str">
        <f t="shared" si="2"/>
        <v>…</v>
      </c>
    </row>
    <row r="13" spans="1:20" x14ac:dyDescent="0.2">
      <c r="B13" t="str">
        <v>FNV</v>
      </c>
      <c r="C13" t="str">
        <v>Franco-Nevada Corporation</v>
      </c>
      <c r="D13" t="str">
        <v>NYSE</v>
      </c>
      <c r="E13" t="str">
        <v>New York Stock Exchange</v>
      </c>
      <c r="F13" t="str">
        <v>America/New_York</v>
      </c>
      <c r="G13" t="str">
        <v>09:30:00</v>
      </c>
      <c r="H13" t="str">
        <v>16:00:00</v>
      </c>
      <c r="I13" t="str">
        <v>Common Stock</v>
      </c>
      <c r="J13" s="7">
        <v>232.11</v>
      </c>
      <c r="K13" s="7">
        <v>2321.1</v>
      </c>
      <c r="L13" s="7">
        <v>229.8</v>
      </c>
      <c r="M13" s="8">
        <v>0.1099</v>
      </c>
      <c r="N13" s="15">
        <v>10</v>
      </c>
      <c r="O13" s="7">
        <v>209.13</v>
      </c>
      <c r="P13" s="13" t="str">
        <v>USD</v>
      </c>
      <c r="Q13" s="7" t="str">
        <f t="shared" si="3"/>
        <v>…</v>
      </c>
      <c r="R13" s="22">
        <f t="shared" si="0"/>
        <v>1970.6138999999998</v>
      </c>
      <c r="S13" s="22" t="str">
        <f t="shared" si="1"/>
        <v>…</v>
      </c>
      <c r="T13" s="22" t="str">
        <f t="shared" si="2"/>
        <v>…</v>
      </c>
    </row>
    <row r="14" spans="1:20" x14ac:dyDescent="0.2">
      <c r="B14" t="str">
        <v>GDX.PA</v>
      </c>
      <c r="C14" t="str">
        <v>VanEck Gold Miners UCITS ETF</v>
      </c>
      <c r="D14" t="str">
        <v>PAR</v>
      </c>
      <c r="E14" t="str">
        <v>Euronext Paris</v>
      </c>
      <c r="F14" t="str">
        <v>Europe/Paris</v>
      </c>
      <c r="G14" t="str">
        <v>09:00:00</v>
      </c>
      <c r="H14" t="str">
        <v>17:30:00</v>
      </c>
      <c r="I14" t="str">
        <v>ETF</v>
      </c>
      <c r="J14" s="7">
        <v>89.86</v>
      </c>
      <c r="K14" s="7">
        <v>2695.8</v>
      </c>
      <c r="L14" s="7">
        <v>-214.07</v>
      </c>
      <c r="M14" s="8">
        <v>-7.3599999999999999E-2</v>
      </c>
      <c r="N14" s="15">
        <v>30</v>
      </c>
      <c r="O14" s="7">
        <v>96.995604</v>
      </c>
      <c r="P14" s="13" t="str">
        <v>EUR</v>
      </c>
      <c r="Q14" s="7">
        <f t="shared" si="3"/>
        <v>2695.8</v>
      </c>
      <c r="R14" s="22" t="str">
        <f t="shared" si="0"/>
        <v>…</v>
      </c>
      <c r="S14" s="22" t="str">
        <f t="shared" si="1"/>
        <v>…</v>
      </c>
      <c r="T14" s="22" t="str">
        <f t="shared" si="2"/>
        <v>…</v>
      </c>
    </row>
    <row r="15" spans="1:20" x14ac:dyDescent="0.2">
      <c r="B15" t="str">
        <v>KRR.AX</v>
      </c>
      <c r="C15" t="str">
        <v>King River Resources Limited</v>
      </c>
      <c r="D15" t="str">
        <v>ASX</v>
      </c>
      <c r="E15" t="str">
        <v>Australian Stock Exchange</v>
      </c>
      <c r="F15" t="str">
        <v>Australia/Sydney</v>
      </c>
      <c r="G15" t="str">
        <v>10:00:00</v>
      </c>
      <c r="H15" t="str">
        <v>16:00:00</v>
      </c>
      <c r="I15" t="str">
        <v>Common Stock</v>
      </c>
      <c r="J15" s="7">
        <v>2.8000000000000001E-2</v>
      </c>
      <c r="K15" s="7">
        <v>2797.2</v>
      </c>
      <c r="L15" s="7">
        <v>389.61</v>
      </c>
      <c r="M15" s="8">
        <v>0.1618</v>
      </c>
      <c r="N15" s="15">
        <v>99900</v>
      </c>
      <c r="O15" s="7">
        <v>2.41E-2</v>
      </c>
      <c r="P15" s="13" t="str">
        <v>AUD</v>
      </c>
      <c r="Q15" s="7" t="str">
        <f t="shared" si="3"/>
        <v>…</v>
      </c>
      <c r="R15" s="22" t="str">
        <f t="shared" si="0"/>
        <v>…</v>
      </c>
      <c r="S15" s="22">
        <f t="shared" si="1"/>
        <v>1719.914364</v>
      </c>
      <c r="T15" s="22" t="str">
        <f t="shared" si="2"/>
        <v>…</v>
      </c>
    </row>
    <row r="16" spans="1:20" x14ac:dyDescent="0.2">
      <c r="B16" t="str">
        <v>MAT.AX</v>
      </c>
      <c r="C16" t="str">
        <v>Matsa Resources Limited</v>
      </c>
      <c r="D16" t="str">
        <v>ASX</v>
      </c>
      <c r="E16" t="str">
        <v>Australian Stock Exchange</v>
      </c>
      <c r="F16" t="str">
        <v>Australia/Sydney</v>
      </c>
      <c r="G16" t="str">
        <v>10:00:00</v>
      </c>
      <c r="H16" t="str">
        <v>16:00:00</v>
      </c>
      <c r="I16" t="str">
        <v>Common Stock</v>
      </c>
      <c r="J16" s="7">
        <v>8.7999999999999995E-2</v>
      </c>
      <c r="K16" s="7">
        <v>17600</v>
      </c>
      <c r="L16" s="7">
        <v>1276.8399999999999</v>
      </c>
      <c r="M16" s="8">
        <v>7.8200000000000006E-2</v>
      </c>
      <c r="N16" s="15">
        <v>200000</v>
      </c>
      <c r="O16" s="7">
        <v>8.1615800000000002E-2</v>
      </c>
      <c r="P16" s="13" t="str">
        <v>AUD</v>
      </c>
      <c r="Q16" s="7" t="str">
        <f t="shared" si="3"/>
        <v>…</v>
      </c>
      <c r="R16" s="22" t="str">
        <f t="shared" si="0"/>
        <v>…</v>
      </c>
      <c r="S16" s="22">
        <f t="shared" si="1"/>
        <v>10821.712000000001</v>
      </c>
      <c r="T16" s="22" t="str">
        <f t="shared" si="2"/>
        <v>…</v>
      </c>
    </row>
    <row r="17" spans="2:20" x14ac:dyDescent="0.2">
      <c r="B17" t="str">
        <v>ORN.AX</v>
      </c>
      <c r="C17" t="str">
        <v>Orion Minerals Limited</v>
      </c>
      <c r="D17" t="str">
        <v>ASX</v>
      </c>
      <c r="E17" t="str">
        <v>Australian Stock Exchange</v>
      </c>
      <c r="F17" t="str">
        <v>Australia/Sydney</v>
      </c>
      <c r="G17" t="str">
        <v>10:00:00</v>
      </c>
      <c r="H17" t="str">
        <v>16:00:00</v>
      </c>
      <c r="I17" t="str">
        <v>Common Stock</v>
      </c>
      <c r="J17" s="7">
        <v>0.03</v>
      </c>
      <c r="K17" s="7">
        <v>3000</v>
      </c>
      <c r="L17" s="7">
        <v>890</v>
      </c>
      <c r="M17" s="8">
        <v>0.42180000000000001</v>
      </c>
      <c r="N17" s="15">
        <v>100000</v>
      </c>
      <c r="O17" s="7">
        <v>2.1100000000000001E-2</v>
      </c>
      <c r="P17" s="13" t="str">
        <v>AUD</v>
      </c>
      <c r="Q17" s="7" t="str">
        <f t="shared" si="3"/>
        <v>…</v>
      </c>
      <c r="R17" s="22" t="str">
        <f t="shared" si="0"/>
        <v>…</v>
      </c>
      <c r="S17" s="22">
        <f t="shared" si="1"/>
        <v>1844.6100000000001</v>
      </c>
      <c r="T17" s="22" t="str">
        <f t="shared" si="2"/>
        <v>…</v>
      </c>
    </row>
    <row r="18" spans="2:20" x14ac:dyDescent="0.2">
      <c r="B18" t="str">
        <v>REMX.PA</v>
      </c>
      <c r="C18" t="str">
        <v>VanEck Rare Earth and Strategic Metals UCITS ETF</v>
      </c>
      <c r="D18" t="str">
        <v>PAR</v>
      </c>
      <c r="E18" t="str">
        <v>Euronext Paris</v>
      </c>
      <c r="F18" t="str">
        <v>Europe/Paris</v>
      </c>
      <c r="G18" t="str">
        <v>09:00:00</v>
      </c>
      <c r="H18" t="str">
        <v>17:30:00</v>
      </c>
      <c r="I18" t="str">
        <v>ETF</v>
      </c>
      <c r="J18" s="7">
        <v>17.622</v>
      </c>
      <c r="K18" s="7">
        <v>5286.6</v>
      </c>
      <c r="L18" s="7">
        <v>554.35</v>
      </c>
      <c r="M18" s="8">
        <v>0.1171</v>
      </c>
      <c r="N18" s="15">
        <v>300</v>
      </c>
      <c r="O18" s="7">
        <v>15.77415294</v>
      </c>
      <c r="P18" s="13" t="str">
        <v>EUR</v>
      </c>
      <c r="Q18" s="7">
        <f t="shared" si="3"/>
        <v>5286.6</v>
      </c>
      <c r="R18" s="22" t="str">
        <f t="shared" si="0"/>
        <v>…</v>
      </c>
      <c r="S18" s="22" t="str">
        <f t="shared" si="1"/>
        <v>…</v>
      </c>
      <c r="T18" s="22" t="str">
        <f t="shared" si="2"/>
        <v>…</v>
      </c>
    </row>
    <row r="19" spans="2:20" x14ac:dyDescent="0.2">
      <c r="B19" t="str">
        <v>RXF.F</v>
      </c>
      <c r="C19" t="str">
        <v>Skeena Resources Ltd.</v>
      </c>
      <c r="D19" t="str">
        <v>FWB</v>
      </c>
      <c r="E19" t="str">
        <v>Frankfurt Stock Exchange</v>
      </c>
      <c r="F19" t="str">
        <v>Europe/Berlin</v>
      </c>
      <c r="G19" t="str">
        <v>08:00:00</v>
      </c>
      <c r="H19" t="str">
        <v>20:00:00</v>
      </c>
      <c r="I19" t="str">
        <v>Common Stock</v>
      </c>
      <c r="J19" s="7">
        <v>26.76</v>
      </c>
      <c r="K19" s="7">
        <v>6690</v>
      </c>
      <c r="L19" s="7">
        <v>1522.78</v>
      </c>
      <c r="M19" s="8">
        <v>0.29470000000000002</v>
      </c>
      <c r="N19" s="15">
        <v>250</v>
      </c>
      <c r="O19" s="7">
        <v>20.668896</v>
      </c>
      <c r="P19" s="13" t="str">
        <v>EUR</v>
      </c>
      <c r="Q19" s="7">
        <f t="shared" si="3"/>
        <v>6690</v>
      </c>
      <c r="R19" s="22" t="str">
        <f t="shared" si="0"/>
        <v>…</v>
      </c>
      <c r="S19" s="22" t="str">
        <f t="shared" si="1"/>
        <v>…</v>
      </c>
      <c r="T19" s="22" t="str">
        <f t="shared" si="2"/>
        <v>…</v>
      </c>
    </row>
    <row r="20" spans="2:20" x14ac:dyDescent="0.2">
      <c r="B20" t="str">
        <v>SLNC.PA</v>
      </c>
      <c r="C20" t="str">
        <v>CoinShares Physical Staked Solana</v>
      </c>
      <c r="D20" t="str">
        <v>PAR</v>
      </c>
      <c r="E20" t="str">
        <v>Euronext Paris</v>
      </c>
      <c r="F20" t="str">
        <v>Europe/Paris</v>
      </c>
      <c r="G20" t="str">
        <v>09:00:00</v>
      </c>
      <c r="H20" t="str">
        <v>17:30:00</v>
      </c>
      <c r="I20" t="str">
        <v>ETF</v>
      </c>
      <c r="J20" s="7">
        <v>8.5250000000000004</v>
      </c>
      <c r="K20" s="7">
        <v>8525</v>
      </c>
      <c r="L20" s="7">
        <v>233.41</v>
      </c>
      <c r="M20" s="8">
        <v>2.81E-2</v>
      </c>
      <c r="N20" s="15">
        <v>1000</v>
      </c>
      <c r="O20" s="7">
        <v>8.2915919999999996</v>
      </c>
      <c r="P20" s="13" t="str">
        <v>EUR</v>
      </c>
      <c r="Q20" s="7">
        <f t="shared" si="3"/>
        <v>8525</v>
      </c>
      <c r="R20" s="22" t="str">
        <f t="shared" si="0"/>
        <v>…</v>
      </c>
      <c r="S20" s="22" t="str">
        <f t="shared" si="1"/>
        <v>…</v>
      </c>
      <c r="T20" s="22" t="str">
        <f t="shared" si="2"/>
        <v>…</v>
      </c>
    </row>
    <row r="21" spans="2:20" x14ac:dyDescent="0.2">
      <c r="B21" t="str">
        <v>TVN.AX</v>
      </c>
      <c r="C21" t="str">
        <v>Tivan Limited</v>
      </c>
      <c r="D21" t="str">
        <v>ASX</v>
      </c>
      <c r="E21" t="str">
        <v>Australian Stock Exchange</v>
      </c>
      <c r="F21" t="str">
        <v>Australia/Sydney</v>
      </c>
      <c r="G21" t="str">
        <v>10:00:00</v>
      </c>
      <c r="H21" t="str">
        <v>16:00:00</v>
      </c>
      <c r="I21" t="str">
        <v>Common Stock</v>
      </c>
      <c r="J21" s="7">
        <v>0.32500000000000001</v>
      </c>
      <c r="K21" s="7">
        <v>16250</v>
      </c>
      <c r="L21" s="7">
        <v>7237.4</v>
      </c>
      <c r="M21" s="8">
        <v>0.80300000000000005</v>
      </c>
      <c r="N21" s="15">
        <v>50000</v>
      </c>
      <c r="O21" s="7">
        <v>0.180252</v>
      </c>
      <c r="P21" s="13" t="str">
        <v>AUD</v>
      </c>
      <c r="Q21" s="7" t="str">
        <f t="shared" si="3"/>
        <v>…</v>
      </c>
      <c r="R21" s="22" t="str">
        <f t="shared" si="0"/>
        <v>…</v>
      </c>
      <c r="S21" s="22">
        <f t="shared" si="1"/>
        <v>9991.6375000000007</v>
      </c>
      <c r="T21" s="22" t="str">
        <f t="shared" si="2"/>
        <v>…</v>
      </c>
    </row>
    <row r="22" spans="2:20" x14ac:dyDescent="0.2">
      <c r="J22" s="7"/>
      <c r="K22" s="7"/>
      <c r="L22" s="7"/>
      <c r="M22" s="8"/>
      <c r="N22" s="15"/>
      <c r="O22" s="7"/>
      <c r="P22" s="13"/>
      <c r="Q22" s="7" t="str">
        <f t="shared" si="3"/>
        <v>…</v>
      </c>
      <c r="R22" s="22" t="str">
        <f t="shared" si="0"/>
        <v>…</v>
      </c>
      <c r="S22" s="22" t="str">
        <f t="shared" si="1"/>
        <v>…</v>
      </c>
      <c r="T22" s="22" t="str">
        <f t="shared" si="2"/>
        <v>…</v>
      </c>
    </row>
    <row r="23" spans="2:20" x14ac:dyDescent="0.2">
      <c r="J23" s="7"/>
      <c r="K23" s="7"/>
      <c r="L23" s="7"/>
      <c r="M23" s="8"/>
      <c r="N23" s="15"/>
      <c r="O23" s="7"/>
      <c r="P23" s="13"/>
      <c r="Q23" s="7" t="str">
        <f t="shared" si="3"/>
        <v>…</v>
      </c>
      <c r="R23" s="22" t="str">
        <f t="shared" si="0"/>
        <v>…</v>
      </c>
      <c r="S23" s="22" t="str">
        <f t="shared" si="1"/>
        <v>…</v>
      </c>
      <c r="T23" s="22" t="str">
        <f t="shared" si="2"/>
        <v>…</v>
      </c>
    </row>
    <row r="24" spans="2:20" x14ac:dyDescent="0.2">
      <c r="J24" s="7"/>
      <c r="K24" s="7"/>
      <c r="L24" s="7"/>
      <c r="M24" s="8"/>
      <c r="N24" s="15"/>
      <c r="O24" s="7"/>
      <c r="P24" s="13"/>
      <c r="Q24" s="7" t="str">
        <f t="shared" si="3"/>
        <v>…</v>
      </c>
      <c r="R24" s="22" t="str">
        <f t="shared" si="0"/>
        <v>…</v>
      </c>
      <c r="S24" s="22" t="str">
        <f t="shared" si="1"/>
        <v>…</v>
      </c>
      <c r="T24" s="22" t="str">
        <f t="shared" si="2"/>
        <v>…</v>
      </c>
    </row>
    <row r="25" spans="2:20" x14ac:dyDescent="0.2">
      <c r="J25" s="7"/>
      <c r="K25" s="7"/>
      <c r="L25" s="7"/>
      <c r="M25" s="8"/>
      <c r="N25" s="15"/>
      <c r="O25" s="7"/>
      <c r="P25" s="13"/>
      <c r="Q25" s="7" t="str">
        <f t="shared" si="3"/>
        <v>…</v>
      </c>
      <c r="R25" s="22" t="str">
        <f t="shared" si="0"/>
        <v>…</v>
      </c>
      <c r="S25" s="22" t="str">
        <f t="shared" si="1"/>
        <v>…</v>
      </c>
      <c r="T25" s="22" t="str">
        <f t="shared" si="2"/>
        <v>…</v>
      </c>
    </row>
    <row r="26" spans="2:20" x14ac:dyDescent="0.2">
      <c r="J26" s="7"/>
      <c r="K26" s="7"/>
      <c r="L26" s="7"/>
      <c r="M26" s="8"/>
      <c r="N26" s="15"/>
      <c r="O26" s="7"/>
      <c r="P26" s="13"/>
      <c r="Q26" s="7" t="str">
        <f t="shared" si="3"/>
        <v>…</v>
      </c>
      <c r="R26" s="22" t="str">
        <f t="shared" si="0"/>
        <v>…</v>
      </c>
      <c r="S26" s="22" t="str">
        <f t="shared" si="1"/>
        <v>…</v>
      </c>
      <c r="T26" s="22" t="str">
        <f t="shared" si="2"/>
        <v>…</v>
      </c>
    </row>
    <row r="27" spans="2:20" x14ac:dyDescent="0.2">
      <c r="J27" s="7"/>
      <c r="K27" s="7"/>
      <c r="L27" s="7"/>
      <c r="M27" s="8"/>
      <c r="N27" s="15"/>
      <c r="O27" s="7"/>
      <c r="P27" s="13"/>
      <c r="Q27" s="7" t="str">
        <f t="shared" si="3"/>
        <v>…</v>
      </c>
      <c r="R27" s="22" t="str">
        <f t="shared" si="0"/>
        <v>…</v>
      </c>
      <c r="S27" s="22" t="str">
        <f t="shared" si="1"/>
        <v>…</v>
      </c>
      <c r="T27" s="22" t="str">
        <f t="shared" si="2"/>
        <v>…</v>
      </c>
    </row>
    <row r="28" spans="2:20" x14ac:dyDescent="0.2">
      <c r="J28" s="7"/>
      <c r="K28" s="7"/>
      <c r="L28" s="7"/>
      <c r="M28" s="8"/>
      <c r="N28" s="15"/>
      <c r="O28" s="7"/>
      <c r="P28" s="13"/>
      <c r="Q28" s="7" t="str">
        <f t="shared" si="3"/>
        <v>…</v>
      </c>
      <c r="R28" s="22" t="str">
        <f t="shared" si="0"/>
        <v>…</v>
      </c>
      <c r="S28" s="22" t="str">
        <f t="shared" si="1"/>
        <v>…</v>
      </c>
      <c r="T28" s="22" t="str">
        <f t="shared" si="2"/>
        <v>…</v>
      </c>
    </row>
    <row r="29" spans="2:20" x14ac:dyDescent="0.2">
      <c r="J29" s="7"/>
      <c r="K29" s="7"/>
      <c r="L29" s="7"/>
      <c r="M29" s="8"/>
      <c r="N29" s="15"/>
      <c r="P29" s="13"/>
      <c r="Q29" s="7" t="str">
        <f t="shared" si="3"/>
        <v>…</v>
      </c>
      <c r="R29" s="22" t="str">
        <f t="shared" si="0"/>
        <v>…</v>
      </c>
      <c r="S29" s="22" t="str">
        <f t="shared" si="1"/>
        <v>…</v>
      </c>
      <c r="T29" s="22" t="str">
        <f t="shared" si="2"/>
        <v>…</v>
      </c>
    </row>
    <row r="30" spans="2:20" x14ac:dyDescent="0.2">
      <c r="P30" s="13"/>
    </row>
    <row r="31" spans="2:20" x14ac:dyDescent="0.2">
      <c r="Q31" s="7">
        <f>SUM(Q7:Q30)</f>
        <v>29697.4</v>
      </c>
      <c r="R31" s="7">
        <f>SUM(R7:R30)</f>
        <v>48317.396549999998</v>
      </c>
      <c r="S31" s="7">
        <f>SUM(S7:S30)</f>
        <v>74014.484354</v>
      </c>
      <c r="T31" s="7">
        <f>SUM(T7:T30)</f>
        <v>0</v>
      </c>
    </row>
    <row r="33" spans="17:17" x14ac:dyDescent="0.2">
      <c r="Q33" s="7">
        <f>Q31+R31+S31+T31</f>
        <v>152029.28090399998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9361-D0AC-4043-AAE1-2EC6C08A7954}">
  <dimension ref="A1:D13"/>
  <sheetViews>
    <sheetView workbookViewId="0">
      <selection activeCell="G10" sqref="G10"/>
    </sheetView>
  </sheetViews>
  <sheetFormatPr defaultColWidth="10.76171875" defaultRowHeight="15" x14ac:dyDescent="0.2"/>
  <cols>
    <col min="1" max="1" width="13.71875" bestFit="1" customWidth="1"/>
    <col min="2" max="2" width="14.390625" bestFit="1" customWidth="1"/>
    <col min="4" max="4" width="18.0234375" customWidth="1"/>
  </cols>
  <sheetData>
    <row r="1" spans="1:4" ht="27" x14ac:dyDescent="0.4">
      <c r="A1" s="19" t="s">
        <v>6</v>
      </c>
      <c r="B1" s="20"/>
    </row>
    <row r="5" spans="1:4" ht="27" x14ac:dyDescent="0.4">
      <c r="A5" s="17" t="s">
        <v>7</v>
      </c>
      <c r="B5" s="18" cm="1">
        <f t="array" ref="B5">_xldudf_SF(A5, "realTime", "price")</f>
        <v>0.84899999999999998</v>
      </c>
    </row>
    <row r="6" spans="1:4" ht="27" x14ac:dyDescent="0.4">
      <c r="A6" s="17" t="s">
        <v>8</v>
      </c>
      <c r="B6" s="18" cm="1">
        <f t="array" ref="B6">_xldudf_SF(A6, "realTime", "price")</f>
        <v>0.61487000000000003</v>
      </c>
      <c r="D6" s="18">
        <f>AUD</f>
        <v>0.61487000000000003</v>
      </c>
    </row>
    <row r="7" spans="1:4" ht="27" x14ac:dyDescent="0.4">
      <c r="A7" s="17" t="s">
        <v>9</v>
      </c>
      <c r="B7" s="18" cm="1">
        <f t="array" ref="B7">_xldudf_SF(A7, "realTime", "price")</f>
        <v>1.1558200000000001</v>
      </c>
    </row>
    <row r="8" spans="1:4" ht="27" x14ac:dyDescent="0.4">
      <c r="A8" s="17" t="s">
        <v>10</v>
      </c>
      <c r="B8" s="18" cm="1">
        <f t="array" ref="B8">_xldudf_SF(A8, "realTime", "price")</f>
        <v>0.62141000000000002</v>
      </c>
    </row>
    <row r="9" spans="1:4" ht="27" x14ac:dyDescent="0.4">
      <c r="A9" s="17"/>
      <c r="B9" s="17"/>
    </row>
    <row r="10" spans="1:4" ht="27" x14ac:dyDescent="0.4">
      <c r="A10" s="17"/>
      <c r="B10" s="17"/>
    </row>
    <row r="11" spans="1:4" ht="27" x14ac:dyDescent="0.4">
      <c r="A11" s="17"/>
      <c r="B11" s="17"/>
    </row>
    <row r="12" spans="1:4" ht="27" x14ac:dyDescent="0.4">
      <c r="A12" s="17"/>
      <c r="B12" s="17"/>
    </row>
    <row r="13" spans="1:4" ht="27" x14ac:dyDescent="0.4">
      <c r="A13" s="17"/>
      <c r="B13" s="17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E2C4-B071-46F6-8344-BD055C837504}">
  <dimension ref="A1:Q30"/>
  <sheetViews>
    <sheetView zoomScale="90" workbookViewId="0">
      <selection activeCell="G21" sqref="G21"/>
    </sheetView>
  </sheetViews>
  <sheetFormatPr defaultColWidth="10.76171875" defaultRowHeight="15" x14ac:dyDescent="0.2"/>
  <cols>
    <col min="5" max="5" width="14.9296875" bestFit="1" customWidth="1"/>
    <col min="6" max="6" width="14.125" bestFit="1" customWidth="1"/>
    <col min="7" max="7" width="17.21875" bestFit="1" customWidth="1"/>
    <col min="9" max="9" width="14.390625" bestFit="1" customWidth="1"/>
    <col min="10" max="10" width="13.31640625" bestFit="1" customWidth="1"/>
    <col min="12" max="12" width="11.56640625" bestFit="1" customWidth="1"/>
  </cols>
  <sheetData>
    <row r="1" spans="1:17" x14ac:dyDescent="0.2">
      <c r="A1" s="5" t="s">
        <v>1</v>
      </c>
    </row>
    <row r="4" spans="1:17" x14ac:dyDescent="0.2">
      <c r="B4" t="s">
        <v>13</v>
      </c>
      <c r="C4" s="10" t="s">
        <v>14</v>
      </c>
      <c r="E4" s="26">
        <f ca="1">NOW()</f>
        <v>46159.008050810182</v>
      </c>
      <c r="F4" s="25" t="str">
        <f ca="1">RIGHT(E4,2)</f>
        <v>02</v>
      </c>
    </row>
    <row r="8" spans="1:17" x14ac:dyDescent="0.2">
      <c r="A8" t="str">
        <f>IF(C4="ja","coin","…")</f>
        <v>coin</v>
      </c>
      <c r="B8" s="9" t="str" cm="1">
        <f t="array" ref="B8:P12">_xldudf_SF_BROKERAGE(A8)</f>
        <v>Symbol</v>
      </c>
      <c r="C8" s="4" t="str">
        <v>Name</v>
      </c>
      <c r="D8" s="4" t="str">
        <v>Exchange</v>
      </c>
      <c r="E8" s="4" t="str">
        <v>Exchange Name</v>
      </c>
      <c r="F8" s="4" t="str">
        <v>Exchange Timezone</v>
      </c>
      <c r="G8" s="4" t="str">
        <v>Exchange Open</v>
      </c>
      <c r="H8" s="4" t="str">
        <v>Exchange Close</v>
      </c>
      <c r="I8" s="4" t="str">
        <v>Type</v>
      </c>
      <c r="J8" s="4" t="str">
        <v>Price</v>
      </c>
      <c r="K8" s="4" t="str">
        <v>Market Value</v>
      </c>
      <c r="L8" s="4" t="str">
        <v>Total Profit/Loss</v>
      </c>
      <c r="M8" s="4" t="str">
        <v>Total Profit/Loss (%)</v>
      </c>
      <c r="N8" s="4" t="str">
        <v>Units</v>
      </c>
      <c r="O8" s="4" t="str">
        <v>Average Purchase Price</v>
      </c>
      <c r="P8" s="4" t="str">
        <v>Currency</v>
      </c>
      <c r="Q8" s="4"/>
    </row>
    <row r="9" spans="1:17" x14ac:dyDescent="0.2">
      <c r="B9" t="str">
        <v>MEGA</v>
      </c>
      <c r="C9" t="str">
        <v>MegaETH</v>
      </c>
      <c r="D9" t="str">
        <v>COIN</v>
      </c>
      <c r="E9" t="str">
        <v>Coinbase</v>
      </c>
      <c r="F9" t="str">
        <v>America/New_York</v>
      </c>
      <c r="G9" t="str">
        <v>00:00:00</v>
      </c>
      <c r="H9" t="str">
        <v>23:59:59</v>
      </c>
      <c r="I9" t="str">
        <v>Cryptocurrency</v>
      </c>
      <c r="J9" s="2">
        <v>9.9281320000000006E-2</v>
      </c>
      <c r="K9" s="2">
        <v>534.76</v>
      </c>
      <c r="L9" s="2">
        <v>534.76</v>
      </c>
      <c r="M9" s="2">
        <v>0</v>
      </c>
      <c r="N9">
        <v>5386.3</v>
      </c>
      <c r="O9">
        <v>0</v>
      </c>
      <c r="P9" t="str">
        <v>USD</v>
      </c>
    </row>
    <row r="10" spans="1:17" x14ac:dyDescent="0.2">
      <c r="B10" t="str">
        <v>ETH</v>
      </c>
      <c r="C10" t="str">
        <v>Ethereum</v>
      </c>
      <c r="D10" t="str">
        <v>COIN</v>
      </c>
      <c r="E10" t="str">
        <v>Coinbase</v>
      </c>
      <c r="F10" t="str">
        <v>America/New_York</v>
      </c>
      <c r="G10" t="str">
        <v>00:00:00</v>
      </c>
      <c r="H10" t="str">
        <v>23:59:59</v>
      </c>
      <c r="I10" t="str">
        <v>Cryptocurrency</v>
      </c>
      <c r="J10" s="2">
        <v>1967.3549315549999</v>
      </c>
      <c r="K10" s="2">
        <v>6.11</v>
      </c>
      <c r="L10" s="2">
        <v>6.11</v>
      </c>
      <c r="M10" s="2">
        <v>0</v>
      </c>
      <c r="N10">
        <v>3.1045998110000002E-3</v>
      </c>
      <c r="O10">
        <v>0</v>
      </c>
      <c r="P10" t="str">
        <v>USD</v>
      </c>
    </row>
    <row r="11" spans="1:17" x14ac:dyDescent="0.2">
      <c r="B11" t="str">
        <v>BTC</v>
      </c>
      <c r="C11" t="str">
        <v>Bitcoin</v>
      </c>
      <c r="D11" t="str">
        <v>COIN</v>
      </c>
      <c r="E11" t="str">
        <v>Coinbase</v>
      </c>
      <c r="F11" t="str">
        <v>America/New_York</v>
      </c>
      <c r="G11" t="str">
        <v>00:00:00</v>
      </c>
      <c r="H11" t="str">
        <v>23:59:59</v>
      </c>
      <c r="I11" t="str">
        <v>Cryptocurrency</v>
      </c>
      <c r="J11" s="2">
        <v>69132.195833720005</v>
      </c>
      <c r="K11" s="2">
        <v>38136.65</v>
      </c>
      <c r="L11" s="2">
        <v>38136.65</v>
      </c>
      <c r="M11" s="2">
        <v>0</v>
      </c>
      <c r="N11">
        <v>0.55164816999999999</v>
      </c>
      <c r="O11">
        <v>0</v>
      </c>
      <c r="P11" t="str">
        <v>USD</v>
      </c>
    </row>
    <row r="12" spans="1:17" x14ac:dyDescent="0.2">
      <c r="B12" t="str">
        <v>SOL</v>
      </c>
      <c r="C12" t="str">
        <v>Solana</v>
      </c>
      <c r="D12" t="str">
        <v>COIN</v>
      </c>
      <c r="E12" t="str">
        <v>Coinbase</v>
      </c>
      <c r="F12" t="str">
        <v>America/New_York</v>
      </c>
      <c r="G12" t="str">
        <v>00:00:00</v>
      </c>
      <c r="H12" t="str">
        <v>23:59:59</v>
      </c>
      <c r="I12" t="str">
        <v>Cryptocurrency</v>
      </c>
      <c r="J12">
        <v>82.447229094999997</v>
      </c>
      <c r="K12" s="2">
        <v>13583.04</v>
      </c>
      <c r="L12" s="2">
        <v>13583.04</v>
      </c>
      <c r="M12">
        <v>0</v>
      </c>
      <c r="N12">
        <v>164.74831557100001</v>
      </c>
      <c r="O12">
        <v>0</v>
      </c>
      <c r="P12" t="str">
        <v>USD</v>
      </c>
    </row>
    <row r="13" spans="1:17" x14ac:dyDescent="0.2">
      <c r="K13" s="2">
        <f>SUM(K9:K12)</f>
        <v>52260.560000000005</v>
      </c>
      <c r="L13" s="2">
        <f>SUM(L9:L12)</f>
        <v>52260.560000000005</v>
      </c>
    </row>
    <row r="20" spans="2:7" x14ac:dyDescent="0.2">
      <c r="E20" s="23"/>
    </row>
    <row r="21" spans="2:7" x14ac:dyDescent="0.2">
      <c r="D21" s="23"/>
      <c r="E21" s="23"/>
    </row>
    <row r="22" spans="2:7" x14ac:dyDescent="0.2">
      <c r="D22" s="23"/>
      <c r="E22" s="23"/>
      <c r="F22" s="23"/>
    </row>
    <row r="23" spans="2:7" x14ac:dyDescent="0.2">
      <c r="B23" t="s">
        <v>2</v>
      </c>
      <c r="F23" s="23"/>
    </row>
    <row r="25" spans="2:7" x14ac:dyDescent="0.2">
      <c r="B25" t="s">
        <v>0</v>
      </c>
      <c r="C25" s="2">
        <f>L13</f>
        <v>52260.560000000005</v>
      </c>
      <c r="E25" s="23"/>
      <c r="G25" s="24"/>
    </row>
    <row r="26" spans="2:7" x14ac:dyDescent="0.2">
      <c r="E26" s="23"/>
    </row>
    <row r="27" spans="2:7" x14ac:dyDescent="0.2">
      <c r="B27" t="s">
        <v>15</v>
      </c>
      <c r="C27" s="2">
        <f>L12</f>
        <v>13583.04</v>
      </c>
      <c r="E27" s="23"/>
    </row>
    <row r="29" spans="2:7" x14ac:dyDescent="0.2">
      <c r="F29" s="23"/>
    </row>
    <row r="30" spans="2:7" x14ac:dyDescent="0.2">
      <c r="F30" s="23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647D-7E61-4619-86B3-E296F259E6D9}">
  <dimension ref="A1:P18"/>
  <sheetViews>
    <sheetView topLeftCell="B5" workbookViewId="0">
      <selection activeCell="N16" sqref="N16"/>
    </sheetView>
  </sheetViews>
  <sheetFormatPr defaultColWidth="10.76171875" defaultRowHeight="15" x14ac:dyDescent="0.2"/>
  <cols>
    <col min="3" max="3" width="30.40234375" customWidth="1"/>
  </cols>
  <sheetData>
    <row r="1" spans="1:16" x14ac:dyDescent="0.2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4" spans="1:16" x14ac:dyDescent="0.2">
      <c r="A4" t="s">
        <v>11</v>
      </c>
      <c r="B4" s="9" t="str" cm="1">
        <f t="array" ref="B4:P10">_xldudf_SF_BROKERAGE(A4)</f>
        <v>Symbol</v>
      </c>
      <c r="C4" t="str">
        <v>Name</v>
      </c>
      <c r="D4" t="str">
        <v>Exchange</v>
      </c>
      <c r="E4" t="str">
        <v>Exchange Name</v>
      </c>
      <c r="F4" t="str">
        <v>Exchange Timezone</v>
      </c>
      <c r="G4" t="str">
        <v>Exchange Open</v>
      </c>
      <c r="H4" t="str">
        <v>Exchange Close</v>
      </c>
      <c r="I4" t="str">
        <v>Type</v>
      </c>
      <c r="J4" t="str">
        <v>Price</v>
      </c>
      <c r="K4" t="str">
        <v>Market Value</v>
      </c>
      <c r="L4" t="str">
        <v>Total Profit/Loss</v>
      </c>
      <c r="M4" t="str">
        <v>Total Profit/Loss (%)</v>
      </c>
      <c r="N4" t="str">
        <v>Units</v>
      </c>
      <c r="O4" t="str">
        <v>Average Purchase Price</v>
      </c>
      <c r="P4" t="str">
        <v>Currency</v>
      </c>
    </row>
    <row r="5" spans="1:16" x14ac:dyDescent="0.2">
      <c r="B5" t="str">
        <v>SCWX.DE</v>
      </c>
      <c r="C5" t="str">
        <v>SC MSCI AC World ex 1C Fund</v>
      </c>
      <c r="D5" t="str">
        <v>XETRA</v>
      </c>
      <c r="E5" t="str">
        <v>XETRA</v>
      </c>
      <c r="F5" t="str">
        <v>Europe/Berlin</v>
      </c>
      <c r="G5" t="str">
        <v>09:00:00</v>
      </c>
      <c r="H5" t="str">
        <v>17:30:00</v>
      </c>
      <c r="I5" t="str">
        <v>ETF</v>
      </c>
      <c r="J5" s="1">
        <v>11.356</v>
      </c>
      <c r="K5" s="1">
        <v>113.56</v>
      </c>
      <c r="L5" s="1">
        <v>8.3800000000000008</v>
      </c>
      <c r="M5">
        <v>7.9699999999999993E-2</v>
      </c>
      <c r="N5">
        <v>10</v>
      </c>
      <c r="O5" s="1">
        <v>10.518000000000001</v>
      </c>
      <c r="P5" t="str">
        <v>EUR</v>
      </c>
    </row>
    <row r="6" spans="1:16" x14ac:dyDescent="0.2">
      <c r="B6" t="str">
        <v>SDIP.L</v>
      </c>
      <c r="C6" t="str">
        <v>Global X SuperDividend UCITS ETF USD Dis</v>
      </c>
      <c r="D6" t="str">
        <v>LSE</v>
      </c>
      <c r="E6" t="str">
        <v>London Stock Exchange</v>
      </c>
      <c r="F6" t="str">
        <v>Europe/London</v>
      </c>
      <c r="G6" t="str">
        <v>08:00:00</v>
      </c>
      <c r="H6" t="str">
        <v>16:30:00</v>
      </c>
      <c r="I6" t="str">
        <v>ETF</v>
      </c>
      <c r="J6" s="1">
        <v>7.79</v>
      </c>
      <c r="K6" s="1">
        <v>7.79</v>
      </c>
      <c r="L6" s="1">
        <v>0.1</v>
      </c>
      <c r="M6">
        <v>1.2999999999999999E-2</v>
      </c>
      <c r="N6">
        <v>1</v>
      </c>
      <c r="O6" s="1">
        <v>7.69</v>
      </c>
      <c r="P6" t="str">
        <v>GBP</v>
      </c>
    </row>
    <row r="7" spans="1:16" x14ac:dyDescent="0.2">
      <c r="B7" t="str">
        <v>5MVL.DE</v>
      </c>
      <c r="C7" t="str">
        <v>iShares Edge MSCI EM Value Factor UCITS ETF</v>
      </c>
      <c r="D7" t="str">
        <v>XETRA</v>
      </c>
      <c r="E7" t="str">
        <v>XETRA</v>
      </c>
      <c r="F7" t="str">
        <v>Europe/Berlin</v>
      </c>
      <c r="G7" t="str">
        <v>09:00:00</v>
      </c>
      <c r="H7" t="str">
        <v>17:30:00</v>
      </c>
      <c r="I7" t="str">
        <v>ETF</v>
      </c>
      <c r="J7" s="1">
        <v>83.43</v>
      </c>
      <c r="K7" s="1">
        <v>83.43</v>
      </c>
      <c r="L7" s="1">
        <v>13.69</v>
      </c>
      <c r="M7">
        <v>0.1963</v>
      </c>
      <c r="N7">
        <v>1</v>
      </c>
      <c r="O7" s="1">
        <v>69.739999999999995</v>
      </c>
      <c r="P7" t="str">
        <v>EUR</v>
      </c>
    </row>
    <row r="8" spans="1:16" x14ac:dyDescent="0.2">
      <c r="B8" t="str">
        <v>AAKI.DE</v>
      </c>
      <c r="C8" t="str">
        <v>ARK Artificial Intelligence &amp; Robotics UCITS ETF</v>
      </c>
      <c r="D8" t="str">
        <v>XETRA</v>
      </c>
      <c r="E8" t="str">
        <v>XETRA</v>
      </c>
      <c r="F8" t="str">
        <v>Europe/Berlin</v>
      </c>
      <c r="G8" t="str">
        <v>09:00:00</v>
      </c>
      <c r="H8" t="str">
        <v>17:30:00</v>
      </c>
      <c r="I8" t="str">
        <v>ETF</v>
      </c>
      <c r="J8" s="1">
        <v>9.35</v>
      </c>
      <c r="K8" s="1">
        <v>18.7</v>
      </c>
      <c r="L8" s="1">
        <v>2.06</v>
      </c>
      <c r="M8">
        <v>0.12379999999999999</v>
      </c>
      <c r="N8">
        <v>2</v>
      </c>
      <c r="O8" s="1">
        <v>8.32</v>
      </c>
      <c r="P8" t="str">
        <v>EUR</v>
      </c>
    </row>
    <row r="9" spans="1:16" x14ac:dyDescent="0.2">
      <c r="B9" t="str">
        <v>ARKX.L</v>
      </c>
      <c r="C9" t="str">
        <v>ARK Space &amp; Defence Innovation UCITS ETF USD (Acc)</v>
      </c>
      <c r="D9" t="str">
        <v>LSE</v>
      </c>
      <c r="E9" t="str">
        <v>London Stock Exchange</v>
      </c>
      <c r="F9" t="str">
        <v>Europe/London</v>
      </c>
      <c r="G9" t="str">
        <v>08:00:00</v>
      </c>
      <c r="H9" t="str">
        <v>16:30:00</v>
      </c>
      <c r="I9" t="str">
        <v>ETF</v>
      </c>
      <c r="J9" s="1">
        <v>5.7729999999999997</v>
      </c>
      <c r="K9" s="1">
        <v>57.73</v>
      </c>
      <c r="L9" s="1">
        <v>7.08</v>
      </c>
      <c r="M9">
        <v>0.13980000000000001</v>
      </c>
      <c r="N9">
        <v>10</v>
      </c>
      <c r="O9" s="1">
        <v>5.0650000000000004</v>
      </c>
      <c r="P9" t="str">
        <v>USD</v>
      </c>
    </row>
    <row r="10" spans="1:16" x14ac:dyDescent="0.2">
      <c r="B10" t="str">
        <v>GDXJ.L</v>
      </c>
      <c r="C10" t="str">
        <v>VanEck Junior Gold Miners ETF</v>
      </c>
      <c r="D10" t="str">
        <v>LSE</v>
      </c>
      <c r="E10" t="str">
        <v>London Stock Exchange</v>
      </c>
      <c r="F10" t="str">
        <v>Europe/London</v>
      </c>
      <c r="G10" t="str">
        <v>08:00:00</v>
      </c>
      <c r="H10" t="str">
        <v>16:30:00</v>
      </c>
      <c r="I10" t="str">
        <v>ETF</v>
      </c>
      <c r="J10" s="1">
        <v>119.39</v>
      </c>
      <c r="K10" s="1">
        <v>119.39</v>
      </c>
      <c r="L10" s="1">
        <v>5.77</v>
      </c>
      <c r="M10">
        <v>5.0799999999999998E-2</v>
      </c>
      <c r="N10">
        <v>1</v>
      </c>
      <c r="O10" s="1">
        <v>113.62</v>
      </c>
      <c r="P10" t="str">
        <v>USD</v>
      </c>
    </row>
    <row r="11" spans="1:16" x14ac:dyDescent="0.2">
      <c r="J11" s="1"/>
      <c r="K11" s="1"/>
      <c r="L11" s="1"/>
      <c r="O11" s="1"/>
    </row>
    <row r="12" spans="1:16" x14ac:dyDescent="0.2">
      <c r="J12" s="1"/>
      <c r="K12" s="1">
        <f>SUM(K5:K11)</f>
        <v>400.6</v>
      </c>
      <c r="L12" s="1"/>
      <c r="O12" s="1"/>
    </row>
    <row r="13" spans="1:16" x14ac:dyDescent="0.2">
      <c r="J13" s="1"/>
      <c r="K13" s="1"/>
      <c r="L13" s="1"/>
      <c r="O13" s="1"/>
    </row>
    <row r="14" spans="1:16" x14ac:dyDescent="0.2">
      <c r="J14" s="1"/>
      <c r="K14" s="1"/>
      <c r="L14" s="1"/>
      <c r="O14" s="1"/>
    </row>
    <row r="15" spans="1:16" x14ac:dyDescent="0.2">
      <c r="J15" s="1"/>
      <c r="K15" s="1"/>
      <c r="L15" s="1"/>
      <c r="O15" s="1"/>
    </row>
    <row r="16" spans="1:16" x14ac:dyDescent="0.2">
      <c r="J16" s="1"/>
      <c r="K16" s="1"/>
      <c r="L16" s="1"/>
      <c r="O16" s="1"/>
    </row>
    <row r="17" spans="10:15" x14ac:dyDescent="0.2">
      <c r="J17" s="1"/>
      <c r="K17" s="1"/>
      <c r="L17" s="1"/>
      <c r="O17" s="1"/>
    </row>
    <row r="18" spans="10:15" x14ac:dyDescent="0.2">
      <c r="J18" s="1"/>
      <c r="K18" s="1"/>
      <c r="L18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3</vt:i4>
      </vt:variant>
    </vt:vector>
  </HeadingPairs>
  <TitlesOfParts>
    <vt:vector size="9" baseType="lpstr">
      <vt:lpstr>Übersicht</vt:lpstr>
      <vt:lpstr>U19</vt:lpstr>
      <vt:lpstr>U77</vt:lpstr>
      <vt:lpstr>Tools</vt:lpstr>
      <vt:lpstr>Robinhood</vt:lpstr>
      <vt:lpstr>Trading 212</vt:lpstr>
      <vt:lpstr>AUD</vt:lpstr>
      <vt:lpstr>CAD</vt:lpstr>
      <vt:lpstr>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Kleinhenz</dc:creator>
  <cp:lastModifiedBy>Ralf Kleinhenz</cp:lastModifiedBy>
  <dcterms:created xsi:type="dcterms:W3CDTF">2026-03-06T09:27:11Z</dcterms:created>
  <dcterms:modified xsi:type="dcterms:W3CDTF">2026-05-12T06:27:27Z</dcterms:modified>
</cp:coreProperties>
</file>